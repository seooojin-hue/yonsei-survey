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15610a9bee91722/Desktop/문서/보고서 프로젝트/프롬포트/핵심 로직/"/>
    </mc:Choice>
  </mc:AlternateContent>
  <xr:revisionPtr revIDLastSave="784" documentId="8_{94071093-464B-4343-A04C-E100C4C4BC4F}" xr6:coauthVersionLast="47" xr6:coauthVersionMax="47" xr10:uidLastSave="{DEF99878-7BE0-400D-A4BF-73FC1DADC307}"/>
  <bookViews>
    <workbookView xWindow="-83" yWindow="0" windowWidth="10965" windowHeight="12863" xr2:uid="{891709B4-4E10-4ACA-8CF0-0D2942535EB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2" i="2"/>
</calcChain>
</file>

<file path=xl/sharedStrings.xml><?xml version="1.0" encoding="utf-8"?>
<sst xmlns="http://schemas.openxmlformats.org/spreadsheetml/2006/main" count="1178" uniqueCount="335">
  <si>
    <t>교수명</t>
    <phoneticPr fontId="1" type="noConversion"/>
  </si>
  <si>
    <t>직위</t>
    <phoneticPr fontId="1" type="noConversion"/>
  </si>
  <si>
    <t xml:space="preserve">임용구분 </t>
    <phoneticPr fontId="1" type="noConversion"/>
  </si>
  <si>
    <t>임용일</t>
    <phoneticPr fontId="1" type="noConversion"/>
  </si>
  <si>
    <t>퇴사일</t>
    <phoneticPr fontId="1" type="noConversion"/>
  </si>
  <si>
    <t>해당 직위 종료일</t>
    <phoneticPr fontId="1" type="noConversion"/>
  </si>
  <si>
    <t>최종학위명</t>
    <phoneticPr fontId="1" type="noConversion"/>
  </si>
  <si>
    <t>자격증</t>
    <phoneticPr fontId="1" type="noConversion"/>
  </si>
  <si>
    <t>자격증번호</t>
    <phoneticPr fontId="1" type="noConversion"/>
  </si>
  <si>
    <t>전공(학위)</t>
    <phoneticPr fontId="1" type="noConversion"/>
  </si>
  <si>
    <t>산업체경력</t>
    <phoneticPr fontId="1" type="noConversion"/>
  </si>
  <si>
    <t>강의경력(교과목명)</t>
    <phoneticPr fontId="1" type="noConversion"/>
  </si>
  <si>
    <t>보직 여부</t>
    <phoneticPr fontId="1" type="noConversion"/>
  </si>
  <si>
    <t>보직 내용</t>
    <phoneticPr fontId="1" type="noConversion"/>
  </si>
  <si>
    <t>보직 기간</t>
    <phoneticPr fontId="1" type="noConversion"/>
  </si>
  <si>
    <t>프로그램 책임 여부</t>
    <phoneticPr fontId="1" type="noConversion"/>
  </si>
  <si>
    <t>프로그램 책임 임용일</t>
    <phoneticPr fontId="1" type="noConversion"/>
  </si>
  <si>
    <t>프로그램 책임 종료일</t>
    <phoneticPr fontId="1" type="noConversion"/>
  </si>
  <si>
    <t>보건의료정보관리사 면허 유무</t>
    <phoneticPr fontId="1" type="noConversion"/>
  </si>
  <si>
    <t>보수교육 연도</t>
    <phoneticPr fontId="1" type="noConversion"/>
  </si>
  <si>
    <t>총취득평점</t>
    <phoneticPr fontId="1" type="noConversion"/>
  </si>
  <si>
    <t>보수교육 이수 내용</t>
    <phoneticPr fontId="1" type="noConversion"/>
  </si>
  <si>
    <t>이수율</t>
    <phoneticPr fontId="1" type="noConversion"/>
  </si>
  <si>
    <t>직번</t>
    <phoneticPr fontId="1" type="noConversion"/>
  </si>
  <si>
    <t>연도_학기</t>
    <phoneticPr fontId="1" type="noConversion"/>
  </si>
  <si>
    <t>근무 여부</t>
    <phoneticPr fontId="1" type="noConversion"/>
  </si>
  <si>
    <t>평교수 최소 수업시수(학기단위)</t>
    <phoneticPr fontId="1" type="noConversion"/>
  </si>
  <si>
    <t xml:space="preserve">교과목명 </t>
    <phoneticPr fontId="1" type="noConversion"/>
  </si>
  <si>
    <t>담당시수</t>
    <phoneticPr fontId="1" type="noConversion"/>
  </si>
  <si>
    <t>교과목 구분</t>
    <phoneticPr fontId="1" type="noConversion"/>
  </si>
  <si>
    <t>강의증명서 첨부</t>
    <phoneticPr fontId="1" type="noConversion"/>
  </si>
  <si>
    <t>구분</t>
  </si>
  <si>
    <t>교과영역_1</t>
  </si>
  <si>
    <t>교과영역_2</t>
  </si>
  <si>
    <t>개설학년-학기</t>
  </si>
  <si>
    <t>학교이수구분</t>
  </si>
  <si>
    <t>인증반영여부</t>
  </si>
  <si>
    <t>주관학사행정단위</t>
  </si>
  <si>
    <t>인증기준</t>
  </si>
  <si>
    <t>졸업학점</t>
  </si>
  <si>
    <t>학점구성-소계</t>
  </si>
  <si>
    <t>학점구성-이론</t>
  </si>
  <si>
    <t>학점구성-실습</t>
  </si>
  <si>
    <t>시수</t>
  </si>
  <si>
    <t>비고</t>
  </si>
  <si>
    <t>프로그램 개설 학점</t>
  </si>
  <si>
    <t>교과목 명세서/강의계획서</t>
  </si>
  <si>
    <t>선/후수구분</t>
  </si>
  <si>
    <t>분반여부</t>
  </si>
  <si>
    <t>(실제)개설학기</t>
  </si>
  <si>
    <t>(계획)담당교수명</t>
  </si>
  <si>
    <t>강의실_건물</t>
  </si>
  <si>
    <t>강의실 구분</t>
  </si>
  <si>
    <t>교수학습방법</t>
  </si>
  <si>
    <t>교수평가방법</t>
  </si>
  <si>
    <t>수강신청인원</t>
  </si>
  <si>
    <t>수강인원</t>
  </si>
  <si>
    <t>강의만족도점수</t>
  </si>
  <si>
    <t>임시저장자</t>
  </si>
  <si>
    <t>확정 저장일자</t>
  </si>
  <si>
    <t>확정저장자</t>
  </si>
  <si>
    <t>(실제)담당교수명</t>
    <phoneticPr fontId="1" type="noConversion"/>
  </si>
  <si>
    <t>임시 저장일자</t>
    <phoneticPr fontId="1" type="noConversion"/>
  </si>
  <si>
    <t>&lt;교수수업&gt;</t>
    <phoneticPr fontId="1" type="noConversion"/>
  </si>
  <si>
    <t>&lt;교과목&gt;</t>
    <phoneticPr fontId="1" type="noConversion"/>
  </si>
  <si>
    <t>&lt;강의실&gt;</t>
    <phoneticPr fontId="1" type="noConversion"/>
  </si>
  <si>
    <t xml:space="preserve">전용/공용 </t>
    <phoneticPr fontId="1" type="noConversion"/>
  </si>
  <si>
    <t>수용인원</t>
    <phoneticPr fontId="1" type="noConversion"/>
  </si>
  <si>
    <t>면적(m²)</t>
    <phoneticPr fontId="1" type="noConversion"/>
  </si>
  <si>
    <t>건물명</t>
    <phoneticPr fontId="1" type="noConversion"/>
  </si>
  <si>
    <t>호실</t>
    <phoneticPr fontId="1" type="noConversion"/>
  </si>
  <si>
    <t>교과목명</t>
    <phoneticPr fontId="1" type="noConversion"/>
  </si>
  <si>
    <t>문자열</t>
    <phoneticPr fontId="1" type="noConversion"/>
  </si>
  <si>
    <t>강의실 구분</t>
    <phoneticPr fontId="1" type="noConversion"/>
  </si>
  <si>
    <t>정수</t>
    <phoneticPr fontId="1" type="noConversion"/>
  </si>
  <si>
    <t>숫자</t>
    <phoneticPr fontId="1" type="noConversion"/>
  </si>
  <si>
    <t>날짜</t>
    <phoneticPr fontId="1" type="noConversion"/>
  </si>
  <si>
    <t>문자열, 숫자</t>
    <phoneticPr fontId="1" type="noConversion"/>
  </si>
  <si>
    <t>강의실_호실</t>
    <phoneticPr fontId="1" type="noConversion"/>
  </si>
  <si>
    <t>필수값</t>
    <phoneticPr fontId="1" type="noConversion"/>
  </si>
  <si>
    <t>항목</t>
    <phoneticPr fontId="1" type="noConversion"/>
  </si>
  <si>
    <t>형태</t>
    <phoneticPr fontId="1" type="noConversion"/>
  </si>
  <si>
    <t>조건1(액셀에서 불러올때)</t>
    <phoneticPr fontId="1" type="noConversion"/>
  </si>
  <si>
    <t>조건2(화면고정여부)</t>
    <phoneticPr fontId="1" type="noConversion"/>
  </si>
  <si>
    <t>선택값</t>
    <phoneticPr fontId="1" type="noConversion"/>
  </si>
  <si>
    <t>X</t>
    <phoneticPr fontId="1" type="noConversion"/>
  </si>
  <si>
    <t>O</t>
    <phoneticPr fontId="1" type="noConversion"/>
  </si>
  <si>
    <t>문자열(O/X 또는 예/아니오)</t>
    <phoneticPr fontId="1" type="noConversion"/>
  </si>
  <si>
    <t>조건3(기본값 여부)</t>
    <phoneticPr fontId="1" type="noConversion"/>
  </si>
  <si>
    <t xml:space="preserve">항목 </t>
    <phoneticPr fontId="1" type="noConversion"/>
  </si>
  <si>
    <t>변수명(코드명)</t>
  </si>
  <si>
    <t>변수명(코드명)</t>
    <phoneticPr fontId="1" type="noConversion"/>
  </si>
  <si>
    <t>prof_id</t>
    <phoneticPr fontId="1" type="noConversion"/>
  </si>
  <si>
    <t>prof_name</t>
    <phoneticPr fontId="1" type="noConversion"/>
  </si>
  <si>
    <t>position</t>
  </si>
  <si>
    <t>emp_type</t>
  </si>
  <si>
    <t>hire_date</t>
  </si>
  <si>
    <t>resign_date</t>
  </si>
  <si>
    <t>pos_end_date</t>
  </si>
  <si>
    <t>degree</t>
  </si>
  <si>
    <t>cert_name</t>
  </si>
  <si>
    <t>cert_no</t>
    <phoneticPr fontId="1" type="noConversion"/>
  </si>
  <si>
    <t>major</t>
    <phoneticPr fontId="1" type="noConversion"/>
  </si>
  <si>
    <t>ind_exp</t>
    <phoneticPr fontId="1" type="noConversion"/>
  </si>
  <si>
    <t>teach_exp</t>
  </si>
  <si>
    <t>has_pos</t>
  </si>
  <si>
    <t>pos_name</t>
  </si>
  <si>
    <t>pos_term</t>
  </si>
  <si>
    <t>is_prog_head</t>
    <phoneticPr fontId="1" type="noConversion"/>
  </si>
  <si>
    <t>ph_start_date</t>
  </si>
  <si>
    <t>ph_end_date</t>
    <phoneticPr fontId="1" type="noConversion"/>
  </si>
  <si>
    <t>has_license</t>
  </si>
  <si>
    <t>edu_year</t>
  </si>
  <si>
    <t>edu_score</t>
  </si>
  <si>
    <t>edu_content</t>
  </si>
  <si>
    <t>edu_rate</t>
  </si>
  <si>
    <t>year_sem</t>
    <phoneticPr fontId="1" type="noConversion"/>
  </si>
  <si>
    <t>is_employed</t>
    <phoneticPr fontId="1" type="noConversion"/>
  </si>
  <si>
    <t>min_hours</t>
  </si>
  <si>
    <t>course_name</t>
    <phoneticPr fontId="1" type="noConversion"/>
  </si>
  <si>
    <t>teach_hours</t>
  </si>
  <si>
    <t>course_type</t>
  </si>
  <si>
    <t>has_proof</t>
  </si>
  <si>
    <t>adm_year</t>
    <phoneticPr fontId="1" type="noConversion"/>
  </si>
  <si>
    <t>area_1</t>
  </si>
  <si>
    <t>area_2</t>
  </si>
  <si>
    <t>open_sem</t>
  </si>
  <si>
    <t>school_type</t>
  </si>
  <si>
    <t>is_cert</t>
  </si>
  <si>
    <t>dept</t>
  </si>
  <si>
    <t>cert_std</t>
  </si>
  <si>
    <t>grad_cred</t>
  </si>
  <si>
    <t>total_cred</t>
  </si>
  <si>
    <t>theory_cred</t>
  </si>
  <si>
    <t>prac_cred</t>
  </si>
  <si>
    <t>hours</t>
  </si>
  <si>
    <t>note</t>
  </si>
  <si>
    <t>prog_cred</t>
  </si>
  <si>
    <t>syllabus</t>
  </si>
  <si>
    <t>prereq</t>
  </si>
  <si>
    <t>has_class_div</t>
  </si>
  <si>
    <t>real_sem</t>
  </si>
  <si>
    <t>plan_prof</t>
  </si>
  <si>
    <t>bldg_name</t>
  </si>
  <si>
    <t>room_no</t>
  </si>
  <si>
    <t>room_type</t>
  </si>
  <si>
    <t>real_prof</t>
  </si>
  <si>
    <t>teach_method</t>
  </si>
  <si>
    <t>eval_method</t>
  </si>
  <si>
    <t>req_count</t>
  </si>
  <si>
    <t>act_count</t>
  </si>
  <si>
    <t>sat_score</t>
  </si>
  <si>
    <t>final_date</t>
  </si>
  <si>
    <t>temp_date</t>
    <phoneticPr fontId="1" type="noConversion"/>
  </si>
  <si>
    <t>use_type</t>
  </si>
  <si>
    <t>capacity</t>
    <phoneticPr fontId="1" type="noConversion"/>
  </si>
  <si>
    <t>area</t>
    <phoneticPr fontId="1" type="noConversion"/>
  </si>
  <si>
    <t>temp_user</t>
  </si>
  <si>
    <t>final_user</t>
    <phoneticPr fontId="1" type="noConversion"/>
  </si>
  <si>
    <t>변수명</t>
    <phoneticPr fontId="1" type="noConversion"/>
  </si>
  <si>
    <t>교과영역_2</t>
    <phoneticPr fontId="1" type="noConversion"/>
  </si>
  <si>
    <t>1. 보건의료정보관리학</t>
    <phoneticPr fontId="1" type="noConversion"/>
  </si>
  <si>
    <t>2. 보건의료정보관리 실무</t>
    <phoneticPr fontId="1" type="noConversion"/>
  </si>
  <si>
    <t>3. 보건의료조직 관리</t>
    <phoneticPr fontId="1" type="noConversion"/>
  </si>
  <si>
    <t>4. 건강정보보호</t>
    <phoneticPr fontId="1" type="noConversion"/>
  </si>
  <si>
    <t>5. 질병 및 의료행위 분류</t>
    <phoneticPr fontId="1" type="noConversion"/>
  </si>
  <si>
    <t>6. 의무기록정보 분석 실무</t>
    <phoneticPr fontId="1" type="noConversion"/>
  </si>
  <si>
    <t>7. 의무기록정보 질 향상 실무</t>
    <phoneticPr fontId="1" type="noConversion"/>
  </si>
  <si>
    <t>8. 암 등록</t>
    <phoneticPr fontId="1" type="noConversion"/>
  </si>
  <si>
    <t>9. 의료의 질 관리</t>
    <phoneticPr fontId="1" type="noConversion"/>
  </si>
  <si>
    <t>10. 건강보험 이론 및 실무</t>
    <phoneticPr fontId="1" type="noConversion"/>
  </si>
  <si>
    <t>11. 보건의료 통계</t>
    <phoneticPr fontId="1" type="noConversion"/>
  </si>
  <si>
    <t>12. 보건의료데이터 관리</t>
    <phoneticPr fontId="1" type="noConversion"/>
  </si>
  <si>
    <t>13. 의료정보기술</t>
    <phoneticPr fontId="1" type="noConversion"/>
  </si>
  <si>
    <t>14. 의료관계 법규</t>
    <phoneticPr fontId="1" type="noConversion"/>
  </si>
  <si>
    <t>15. 의학용어</t>
    <phoneticPr fontId="1" type="noConversion"/>
  </si>
  <si>
    <t>16. 병리학</t>
  </si>
  <si>
    <t>17. 해부생리학</t>
  </si>
  <si>
    <t>18. 현장 실습</t>
  </si>
  <si>
    <t>보건의료정보관리(HIM)</t>
    <phoneticPr fontId="1" type="noConversion"/>
  </si>
  <si>
    <t>보건의료관리(HM)</t>
    <phoneticPr fontId="1" type="noConversion"/>
  </si>
  <si>
    <t>화면에서 클릭해서 넣을 수 있게</t>
    <phoneticPr fontId="1" type="noConversion"/>
  </si>
  <si>
    <t>&lt;교수인적사항&gt;</t>
    <phoneticPr fontId="1" type="noConversion"/>
  </si>
  <si>
    <t>&lt;명세서&gt;</t>
    <phoneticPr fontId="1" type="noConversion"/>
  </si>
  <si>
    <t>&lt;프로그램 최종성과 평가모델&gt;</t>
    <phoneticPr fontId="1" type="noConversion"/>
  </si>
  <si>
    <t>&lt;운영지원인력&gt;</t>
    <phoneticPr fontId="1" type="noConversion"/>
  </si>
  <si>
    <t>&lt;학생&gt;</t>
    <phoneticPr fontId="1" type="noConversion"/>
  </si>
  <si>
    <t>&lt;학교현황&gt;</t>
    <phoneticPr fontId="1" type="noConversion"/>
  </si>
  <si>
    <t>제목</t>
  </si>
  <si>
    <t>입학년도</t>
  </si>
  <si>
    <t xml:space="preserve">교과목명 </t>
  </si>
  <si>
    <t>(계획)담당교수명</t>
    <phoneticPr fontId="1" type="noConversion"/>
  </si>
  <si>
    <t>책임교수</t>
    <phoneticPr fontId="1" type="noConversion"/>
  </si>
  <si>
    <t>교과목개요</t>
    <phoneticPr fontId="1" type="noConversion"/>
  </si>
  <si>
    <t>프로그램최종성과PO1</t>
    <phoneticPr fontId="1" type="noConversion"/>
  </si>
  <si>
    <t>프로그램최종성과PO2</t>
  </si>
  <si>
    <t>프로그램최종성과PO3</t>
  </si>
  <si>
    <t>프로그램최종성과PO4</t>
  </si>
  <si>
    <t>프로그램최종성과PO5</t>
  </si>
  <si>
    <t>프로그램최종성과PO6</t>
  </si>
  <si>
    <t>프로그램최종성과PO7</t>
  </si>
  <si>
    <t>프로그램최종성과PO8</t>
  </si>
  <si>
    <t>프로그램최종성과PO9</t>
  </si>
  <si>
    <t>프로그램최종성과PO10</t>
  </si>
  <si>
    <t>학습목표</t>
  </si>
  <si>
    <t>학습내용</t>
  </si>
  <si>
    <t>교수법</t>
    <phoneticPr fontId="1" type="noConversion"/>
  </si>
  <si>
    <t>선수과목</t>
  </si>
  <si>
    <t>기호</t>
    <phoneticPr fontId="1" type="noConversion"/>
  </si>
  <si>
    <t>프로그램성과</t>
    <phoneticPr fontId="1" type="noConversion"/>
  </si>
  <si>
    <t>수행준거</t>
    <phoneticPr fontId="1" type="noConversion"/>
  </si>
  <si>
    <t>평가도구</t>
    <phoneticPr fontId="1" type="noConversion"/>
  </si>
  <si>
    <t>수행수준</t>
    <phoneticPr fontId="1" type="noConversion"/>
  </si>
  <si>
    <t>목표달성도</t>
    <phoneticPr fontId="1" type="noConversion"/>
  </si>
  <si>
    <t>연도</t>
    <phoneticPr fontId="1" type="noConversion"/>
  </si>
  <si>
    <t>성명</t>
    <phoneticPr fontId="1" type="noConversion"/>
  </si>
  <si>
    <t>직급</t>
    <phoneticPr fontId="1" type="noConversion"/>
  </si>
  <si>
    <t>겸직 여부</t>
    <phoneticPr fontId="1" type="noConversion"/>
  </si>
  <si>
    <t>겸직인 경우 업무 참여율</t>
    <phoneticPr fontId="1" type="noConversion"/>
  </si>
  <si>
    <t>입사일</t>
    <phoneticPr fontId="1" type="noConversion"/>
  </si>
  <si>
    <t>해당과담당 시작일</t>
    <phoneticPr fontId="1" type="noConversion"/>
  </si>
  <si>
    <t>해당과담당 종료일</t>
    <phoneticPr fontId="1" type="noConversion"/>
  </si>
  <si>
    <t>학번</t>
    <phoneticPr fontId="1" type="noConversion"/>
  </si>
  <si>
    <t>입학일시</t>
    <phoneticPr fontId="1" type="noConversion"/>
  </si>
  <si>
    <t>구분_프로그램 진입 현황</t>
    <phoneticPr fontId="1" type="noConversion"/>
  </si>
  <si>
    <t>구분_프로그램 진입 시기</t>
    <phoneticPr fontId="1" type="noConversion"/>
  </si>
  <si>
    <t>구분_프로그램 중 진출 현황</t>
    <phoneticPr fontId="1" type="noConversion"/>
  </si>
  <si>
    <t>구분_프로그램 중 진출 시기</t>
    <phoneticPr fontId="1" type="noConversion"/>
  </si>
  <si>
    <t>구분_프로그램 중 재진입 현황</t>
    <phoneticPr fontId="1" type="noConversion"/>
  </si>
  <si>
    <t>구분_프로그램 중 재진입 시기</t>
    <phoneticPr fontId="1" type="noConversion"/>
  </si>
  <si>
    <t>졸업예정 여부</t>
    <phoneticPr fontId="1" type="noConversion"/>
  </si>
  <si>
    <t>프로그램 최종성과 통과 여부</t>
    <phoneticPr fontId="1" type="noConversion"/>
  </si>
  <si>
    <t>보건의료정보관리사_국가시험_접수여부</t>
    <phoneticPr fontId="1" type="noConversion"/>
  </si>
  <si>
    <t>보건의료정보관리사_국가시험_응시여부</t>
    <phoneticPr fontId="1" type="noConversion"/>
  </si>
  <si>
    <t>보건의료정보관리사_국가시험_합격여부</t>
    <phoneticPr fontId="1" type="noConversion"/>
  </si>
  <si>
    <t>구분_프로그램 종료 현황</t>
    <phoneticPr fontId="1" type="noConversion"/>
  </si>
  <si>
    <t>구분_프로그램 종료 시기</t>
    <phoneticPr fontId="1" type="noConversion"/>
  </si>
  <si>
    <t>취업현황</t>
    <phoneticPr fontId="1" type="noConversion"/>
  </si>
  <si>
    <t>대학명</t>
    <phoneticPr fontId="1" type="noConversion"/>
  </si>
  <si>
    <t>소속학과/학부(계열) 명칭_국문명</t>
    <phoneticPr fontId="1" type="noConversion"/>
  </si>
  <si>
    <t>소속학과/학부(계열) 명칭_영문명</t>
    <phoneticPr fontId="1" type="noConversion"/>
  </si>
  <si>
    <t>학사 단위</t>
    <phoneticPr fontId="1" type="noConversion"/>
  </si>
  <si>
    <t>보건의료정보관리교육
평가·인증 제도 시작년도</t>
    <phoneticPr fontId="1" type="noConversion"/>
  </si>
  <si>
    <t>계열</t>
    <phoneticPr fontId="1" type="noConversion"/>
  </si>
  <si>
    <t>편제정원</t>
    <phoneticPr fontId="1" type="noConversion"/>
  </si>
  <si>
    <t>적용 인증기준</t>
    <phoneticPr fontId="1" type="noConversion"/>
  </si>
  <si>
    <t>임시저장자</t>
    <phoneticPr fontId="1" type="noConversion"/>
  </si>
  <si>
    <t>확정 저장일자</t>
    <phoneticPr fontId="1" type="noConversion"/>
  </si>
  <si>
    <t>확정저장자</t>
    <phoneticPr fontId="1" type="noConversion"/>
  </si>
  <si>
    <t>학년-학기</t>
  </si>
  <si>
    <t>연계PO</t>
    <phoneticPr fontId="1" type="noConversion"/>
  </si>
  <si>
    <t>PO성취도평가반영여부</t>
    <phoneticPr fontId="1" type="noConversion"/>
  </si>
  <si>
    <t>평가_영역</t>
  </si>
  <si>
    <t>평가_평가기준(배점율)</t>
  </si>
  <si>
    <t>평가_평가방법</t>
  </si>
  <si>
    <t>평가_목표수준</t>
  </si>
  <si>
    <t>po_code</t>
  </si>
  <si>
    <t>perf_criteria</t>
  </si>
  <si>
    <t>eval_tool</t>
  </si>
  <si>
    <t>perf_level</t>
  </si>
  <si>
    <t>target_achieve</t>
  </si>
  <si>
    <t>year</t>
    <phoneticPr fontId="1" type="noConversion"/>
  </si>
  <si>
    <t>staff_name</t>
    <phoneticPr fontId="1" type="noConversion"/>
  </si>
  <si>
    <t>conc_rate</t>
  </si>
  <si>
    <t>dept_start_date</t>
    <phoneticPr fontId="1" type="noConversion"/>
  </si>
  <si>
    <t>dept_end_date</t>
  </si>
  <si>
    <t>is_concurrent</t>
  </si>
  <si>
    <t>std_id</t>
  </si>
  <si>
    <t>std_name</t>
  </si>
  <si>
    <t>adm_date</t>
  </si>
  <si>
    <t>prog_entry_status</t>
  </si>
  <si>
    <t>prog_entry_date</t>
  </si>
  <si>
    <t>prog_exit_status</t>
  </si>
  <si>
    <t>prog_exit_date</t>
  </si>
  <si>
    <t>prog_reentry_status</t>
  </si>
  <si>
    <t>prog_reentry_date</t>
  </si>
  <si>
    <t>is_grad_candidate</t>
  </si>
  <si>
    <t>is_po_passed</t>
  </si>
  <si>
    <t>is_exam_applied</t>
  </si>
  <si>
    <t>is_exam_taken</t>
  </si>
  <si>
    <t>is_exam_passed</t>
  </si>
  <si>
    <t>prog_end_status</t>
  </si>
  <si>
    <t>prog_end_date</t>
  </si>
  <si>
    <t>job_status</t>
  </si>
  <si>
    <t>univ_name</t>
  </si>
  <si>
    <t>degree_name</t>
  </si>
  <si>
    <t>dept_name_kr</t>
  </si>
  <si>
    <t>dept_name_en</t>
  </si>
  <si>
    <t>acad_unit</t>
  </si>
  <si>
    <t>eval_start_year</t>
  </si>
  <si>
    <t>division</t>
  </si>
  <si>
    <t>quota</t>
  </si>
  <si>
    <t>temp_date</t>
  </si>
  <si>
    <t>final_user</t>
  </si>
  <si>
    <t xml:space="preserve">학위과정명 </t>
    <phoneticPr fontId="1" type="noConversion"/>
  </si>
  <si>
    <t>course_name</t>
  </si>
  <si>
    <t>learn_goal</t>
  </si>
  <si>
    <t>link_po</t>
  </si>
  <si>
    <t>is_po_ref</t>
  </si>
  <si>
    <t>learn_content</t>
  </si>
  <si>
    <t>teach_skill</t>
  </si>
  <si>
    <t>eval_domain</t>
  </si>
  <si>
    <t>eval_criteria</t>
  </si>
  <si>
    <t>eval_way</t>
  </si>
  <si>
    <t>eval_target</t>
  </si>
  <si>
    <t>pre_subject</t>
  </si>
  <si>
    <t>doc_title</t>
  </si>
  <si>
    <t>apply_year</t>
  </si>
  <si>
    <t>target_sem</t>
  </si>
  <si>
    <t>div_class</t>
  </si>
  <si>
    <t>resp_prof</t>
  </si>
  <si>
    <t>course_overview</t>
  </si>
  <si>
    <t>po1_match</t>
  </si>
  <si>
    <t>po2_match</t>
  </si>
  <si>
    <t>po3_match</t>
  </si>
  <si>
    <t>po4_match</t>
  </si>
  <si>
    <t>po5_match</t>
  </si>
  <si>
    <t>po6_match</t>
  </si>
  <si>
    <t>po7_match</t>
  </si>
  <si>
    <t>po8_match</t>
  </si>
  <si>
    <t>po9_match</t>
  </si>
  <si>
    <t>po10_match</t>
  </si>
  <si>
    <t>room_area</t>
    <phoneticPr fontId="1" type="noConversion"/>
  </si>
  <si>
    <t>prof_position</t>
    <phoneticPr fontId="1" type="noConversion"/>
  </si>
  <si>
    <t>staff_position</t>
    <phoneticPr fontId="1" type="noConversion"/>
  </si>
  <si>
    <t>staff_hire_date</t>
    <phoneticPr fontId="1" type="noConversion"/>
  </si>
  <si>
    <t>staff_resign_date</t>
    <phoneticPr fontId="1" type="noConversion"/>
  </si>
  <si>
    <t>prof_hire_date</t>
    <phoneticPr fontId="1" type="noConversion"/>
  </si>
  <si>
    <t>prof_resign_date</t>
    <phoneticPr fontId="1" type="noConversion"/>
  </si>
  <si>
    <t>프로그램 개설 학점</t>
    <phoneticPr fontId="1" type="noConversion"/>
  </si>
  <si>
    <t>curr_year</t>
    <phoneticPr fontId="1" type="noConversion"/>
  </si>
  <si>
    <t>base_year</t>
    <phoneticPr fontId="1" type="noConversion"/>
  </si>
  <si>
    <t>hosting_dept</t>
  </si>
  <si>
    <t>school_cert_std</t>
  </si>
  <si>
    <t>course_std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</si>
</sst>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444746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rgb="FF444746"/>
      <name val="맑은 고딕"/>
      <family val="3"/>
      <charset val="129"/>
      <scheme val="minor"/>
    </font>
    <font>
      <sz val="10"/>
      <color rgb="FF444746"/>
      <name val="Google Sans Text"/>
      <family val="2"/>
    </font>
    <font>
      <b/>
      <sz val="10"/>
      <color rgb="FF444746"/>
      <name val="Google Sans Text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3" borderId="1" xfId="0" applyFont="1" applyFill="1" applyBorder="1">
      <alignment vertical="center"/>
    </xf>
    <xf numFmtId="0" fontId="2" fillId="2" borderId="1" xfId="0" applyFont="1" applyFill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>
      <alignment vertical="center"/>
    </xf>
    <xf numFmtId="0" fontId="4" fillId="0" borderId="1" xfId="0" applyFont="1" applyBorder="1" applyAlignment="1">
      <alignment vertical="center" wrapText="1" readingOrder="1"/>
    </xf>
    <xf numFmtId="0" fontId="5" fillId="0" borderId="1" xfId="0" applyFont="1" applyBorder="1">
      <alignment vertical="center"/>
    </xf>
    <xf numFmtId="0" fontId="2" fillId="4" borderId="1" xfId="0" applyFont="1" applyFill="1" applyBorder="1">
      <alignment vertical="center"/>
    </xf>
    <xf numFmtId="0" fontId="4" fillId="4" borderId="1" xfId="0" applyFont="1" applyFill="1" applyBorder="1" applyAlignment="1">
      <alignment vertical="center" wrapText="1" readingOrder="1"/>
    </xf>
    <xf numFmtId="0" fontId="0" fillId="4" borderId="1" xfId="0" applyFill="1" applyBorder="1">
      <alignment vertical="center"/>
    </xf>
    <xf numFmtId="0" fontId="0" fillId="4" borderId="0" xfId="0" applyFill="1">
      <alignment vertical="center"/>
    </xf>
    <xf numFmtId="0" fontId="3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3" borderId="0" xfId="0" applyFont="1" applyFill="1">
      <alignment vertical="center"/>
    </xf>
    <xf numFmtId="0" fontId="2" fillId="4" borderId="0" xfId="0" applyFont="1" applyFill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justify" vertical="center" wrapText="1"/>
    </xf>
    <xf numFmtId="0" fontId="7" fillId="0" borderId="1" xfId="0" applyFont="1" applyBorder="1" applyAlignment="1">
      <alignment vertical="center" wrapText="1" readingOrder="1"/>
    </xf>
    <xf numFmtId="0" fontId="6" fillId="2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/>
    </xf>
    <xf numFmtId="0" fontId="2" fillId="5" borderId="1" xfId="0" applyFont="1" applyFill="1" applyBorder="1">
      <alignment vertical="center"/>
    </xf>
    <xf numFmtId="0" fontId="2" fillId="5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vertical="center" wrapText="1" readingOrder="1"/>
    </xf>
    <xf numFmtId="0" fontId="9" fillId="4" borderId="1" xfId="0" applyFont="1" applyFill="1" applyBorder="1" applyAlignment="1">
      <alignment vertical="center" wrapText="1" readingOrder="1"/>
    </xf>
    <xf numFmtId="0" fontId="2" fillId="3" borderId="1" xfId="0" applyFont="1" applyFill="1" applyBorder="1" applyAlignment="1">
      <alignment horizontal="left" vertical="center"/>
    </xf>
    <xf numFmtId="0" fontId="0" fillId="3" borderId="1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880B9-2462-42D7-8029-D63772C793CF}">
  <dimension ref="A1:BJ64"/>
  <sheetViews>
    <sheetView tabSelected="1" topLeftCell="R19" zoomScale="70" zoomScaleNormal="70" workbookViewId="0">
      <selection activeCell="V11" sqref="V11"/>
    </sheetView>
  </sheetViews>
  <sheetFormatPr defaultRowHeight="16.899999999999999"/>
  <cols>
    <col min="1" max="2" width="30.5625" style="7" customWidth="1"/>
    <col min="3" max="3" width="11.5625" style="4" customWidth="1"/>
    <col min="4" max="4" width="23.375" style="4" customWidth="1"/>
    <col min="5" max="6" width="20.125" style="4" customWidth="1"/>
    <col min="7" max="7" width="11.5625" style="4" customWidth="1"/>
    <col min="8" max="9" width="30.5625" style="4" customWidth="1"/>
    <col min="10" max="10" width="11.5625" style="4" customWidth="1"/>
    <col min="11" max="11" width="23.375" style="4" customWidth="1"/>
    <col min="12" max="13" width="20.125" style="4" customWidth="1"/>
    <col min="14" max="14" width="11.5625" style="4" customWidth="1"/>
    <col min="15" max="16" width="30.5625" style="4" customWidth="1"/>
    <col min="17" max="17" width="11.5625" style="4" customWidth="1"/>
    <col min="18" max="20" width="23.375" style="4" customWidth="1"/>
    <col min="21" max="21" width="11.5625" style="4" customWidth="1"/>
    <col min="22" max="23" width="30.5625" style="4" customWidth="1"/>
    <col min="24" max="24" width="11.5625" style="4" customWidth="1"/>
    <col min="25" max="25" width="23.375" style="4" customWidth="1"/>
    <col min="26" max="27" width="20.125" style="4" customWidth="1"/>
    <col min="28" max="28" width="9" style="4"/>
    <col min="29" max="30" width="30.5625" style="4" customWidth="1"/>
    <col min="31" max="31" width="11.5625" style="4" customWidth="1"/>
    <col min="32" max="32" width="23.375" style="4" customWidth="1"/>
    <col min="33" max="34" width="20.125" style="4" customWidth="1"/>
    <col min="35" max="35" width="9" style="4"/>
    <col min="36" max="37" width="30.5625" style="4" customWidth="1"/>
    <col min="38" max="38" width="11.5625" style="4" customWidth="1"/>
    <col min="39" max="39" width="23.375" style="4" customWidth="1"/>
    <col min="40" max="41" width="20.125" style="4" customWidth="1"/>
    <col min="42" max="42" width="9" style="4"/>
    <col min="43" max="44" width="30.5625" style="4" customWidth="1"/>
    <col min="45" max="45" width="11.5625" style="4" customWidth="1"/>
    <col min="46" max="46" width="23.375" style="4" customWidth="1"/>
    <col min="47" max="48" width="20.125" style="4" customWidth="1"/>
    <col min="49" max="49" width="9" style="4"/>
    <col min="50" max="51" width="30.5625" style="4" customWidth="1"/>
    <col min="52" max="52" width="11.5625" style="4" customWidth="1"/>
    <col min="53" max="53" width="23.375" style="4" customWidth="1"/>
    <col min="54" max="55" width="20.125" style="4" customWidth="1"/>
    <col min="56" max="56" width="9" style="4"/>
    <col min="57" max="58" width="30.5625" style="4" customWidth="1"/>
    <col min="59" max="59" width="11.5625" style="4" customWidth="1"/>
    <col min="60" max="60" width="23.375" style="4" customWidth="1"/>
    <col min="61" max="62" width="20.125" style="4" customWidth="1"/>
    <col min="63" max="16384" width="9" style="4"/>
  </cols>
  <sheetData>
    <row r="1" spans="1:62">
      <c r="A1" s="7" t="s">
        <v>182</v>
      </c>
      <c r="H1" s="4" t="s">
        <v>63</v>
      </c>
      <c r="O1" s="4" t="s">
        <v>64</v>
      </c>
      <c r="V1" s="4" t="s">
        <v>65</v>
      </c>
      <c r="AC1" s="4" t="s">
        <v>183</v>
      </c>
      <c r="AJ1" s="4" t="s">
        <v>184</v>
      </c>
      <c r="AQ1" s="4" t="s">
        <v>185</v>
      </c>
      <c r="AX1" s="4" t="s">
        <v>186</v>
      </c>
      <c r="BE1" s="4" t="s">
        <v>187</v>
      </c>
    </row>
    <row r="2" spans="1:62">
      <c r="A2" s="9" t="s">
        <v>89</v>
      </c>
      <c r="B2" s="9" t="s">
        <v>91</v>
      </c>
      <c r="C2" s="10" t="s">
        <v>81</v>
      </c>
      <c r="D2" s="10" t="s">
        <v>82</v>
      </c>
      <c r="E2" s="10" t="s">
        <v>83</v>
      </c>
      <c r="F2" s="10" t="s">
        <v>88</v>
      </c>
      <c r="H2" s="10" t="s">
        <v>80</v>
      </c>
      <c r="I2" s="10" t="s">
        <v>90</v>
      </c>
      <c r="J2" s="10" t="s">
        <v>81</v>
      </c>
      <c r="K2" s="10" t="s">
        <v>82</v>
      </c>
      <c r="L2" s="10" t="s">
        <v>83</v>
      </c>
      <c r="M2" s="10" t="s">
        <v>88</v>
      </c>
      <c r="O2" s="10" t="s">
        <v>80</v>
      </c>
      <c r="P2" s="10" t="s">
        <v>91</v>
      </c>
      <c r="Q2" s="10" t="s">
        <v>81</v>
      </c>
      <c r="R2" s="10" t="s">
        <v>82</v>
      </c>
      <c r="S2" s="10" t="s">
        <v>83</v>
      </c>
      <c r="T2" s="10" t="s">
        <v>88</v>
      </c>
      <c r="V2" s="10" t="s">
        <v>80</v>
      </c>
      <c r="W2" s="10" t="s">
        <v>90</v>
      </c>
      <c r="X2" s="10" t="s">
        <v>81</v>
      </c>
      <c r="Y2" s="10" t="s">
        <v>82</v>
      </c>
      <c r="Z2" s="10" t="s">
        <v>83</v>
      </c>
      <c r="AA2" s="10" t="s">
        <v>88</v>
      </c>
      <c r="AC2" s="10" t="s">
        <v>80</v>
      </c>
      <c r="AD2" s="10" t="s">
        <v>90</v>
      </c>
      <c r="AE2" s="10" t="s">
        <v>81</v>
      </c>
      <c r="AF2" s="10" t="s">
        <v>82</v>
      </c>
      <c r="AG2" s="10" t="s">
        <v>83</v>
      </c>
      <c r="AH2" s="10" t="s">
        <v>88</v>
      </c>
      <c r="AJ2" s="10" t="s">
        <v>80</v>
      </c>
      <c r="AK2" s="10" t="s">
        <v>90</v>
      </c>
      <c r="AL2" s="10" t="s">
        <v>81</v>
      </c>
      <c r="AM2" s="10" t="s">
        <v>82</v>
      </c>
      <c r="AN2" s="10" t="s">
        <v>83</v>
      </c>
      <c r="AO2" s="10" t="s">
        <v>88</v>
      </c>
      <c r="AQ2" s="2" t="s">
        <v>80</v>
      </c>
      <c r="AR2" s="2" t="s">
        <v>90</v>
      </c>
      <c r="AS2" s="2" t="s">
        <v>81</v>
      </c>
      <c r="AT2" s="2" t="s">
        <v>82</v>
      </c>
      <c r="AU2" s="2" t="s">
        <v>83</v>
      </c>
      <c r="AV2" s="2" t="s">
        <v>88</v>
      </c>
      <c r="AX2" s="2" t="s">
        <v>80</v>
      </c>
      <c r="AY2" s="2" t="s">
        <v>90</v>
      </c>
      <c r="AZ2" s="2" t="s">
        <v>81</v>
      </c>
      <c r="BA2" s="2" t="s">
        <v>82</v>
      </c>
      <c r="BB2" s="2" t="s">
        <v>83</v>
      </c>
      <c r="BC2" s="2" t="s">
        <v>88</v>
      </c>
      <c r="BE2" s="10" t="s">
        <v>80</v>
      </c>
      <c r="BF2" s="10" t="s">
        <v>90</v>
      </c>
      <c r="BG2" s="10" t="s">
        <v>81</v>
      </c>
      <c r="BH2" s="10" t="s">
        <v>82</v>
      </c>
      <c r="BI2" s="10" t="s">
        <v>83</v>
      </c>
      <c r="BJ2" s="10" t="s">
        <v>88</v>
      </c>
    </row>
    <row r="3" spans="1:62">
      <c r="A3" s="8" t="s">
        <v>23</v>
      </c>
      <c r="B3" s="8" t="s">
        <v>92</v>
      </c>
      <c r="C3" s="10" t="s">
        <v>72</v>
      </c>
      <c r="D3" s="10" t="s">
        <v>84</v>
      </c>
      <c r="E3" s="10" t="s">
        <v>86</v>
      </c>
      <c r="F3" s="10" t="s">
        <v>86</v>
      </c>
      <c r="H3" s="3" t="s">
        <v>0</v>
      </c>
      <c r="I3" s="13" t="s">
        <v>93</v>
      </c>
      <c r="J3" s="10" t="s">
        <v>72</v>
      </c>
      <c r="K3" s="10" t="s">
        <v>79</v>
      </c>
      <c r="L3" s="10" t="s">
        <v>86</v>
      </c>
      <c r="M3" s="10" t="s">
        <v>86</v>
      </c>
      <c r="O3" s="3" t="s">
        <v>31</v>
      </c>
      <c r="P3" s="3" t="s">
        <v>330</v>
      </c>
      <c r="Q3" s="10" t="s">
        <v>72</v>
      </c>
      <c r="R3" s="10" t="s">
        <v>79</v>
      </c>
      <c r="S3" s="10" t="s">
        <v>85</v>
      </c>
      <c r="T3" s="10" t="s">
        <v>86</v>
      </c>
      <c r="V3" s="24" t="s">
        <v>73</v>
      </c>
      <c r="W3" s="13" t="s">
        <v>145</v>
      </c>
      <c r="X3" s="10" t="s">
        <v>72</v>
      </c>
      <c r="Y3" s="10" t="s">
        <v>79</v>
      </c>
      <c r="Z3" s="10" t="s">
        <v>85</v>
      </c>
      <c r="AA3" s="10" t="s">
        <v>85</v>
      </c>
      <c r="AC3" s="25" t="s">
        <v>188</v>
      </c>
      <c r="AD3" s="32" t="s">
        <v>306</v>
      </c>
      <c r="AE3" s="10" t="s">
        <v>72</v>
      </c>
      <c r="AF3" s="10" t="s">
        <v>79</v>
      </c>
      <c r="AG3" s="10" t="s">
        <v>85</v>
      </c>
      <c r="AH3" s="10" t="s">
        <v>86</v>
      </c>
      <c r="AJ3" s="10" t="s">
        <v>209</v>
      </c>
      <c r="AK3" s="1" t="s">
        <v>256</v>
      </c>
      <c r="AL3" s="10" t="s">
        <v>72</v>
      </c>
      <c r="AM3" s="10" t="s">
        <v>79</v>
      </c>
      <c r="AN3" s="10" t="s">
        <v>86</v>
      </c>
      <c r="AO3" s="10" t="s">
        <v>85</v>
      </c>
      <c r="AQ3" s="2" t="s">
        <v>214</v>
      </c>
      <c r="AR3" s="2" t="s">
        <v>261</v>
      </c>
      <c r="AS3" s="2" t="s">
        <v>72</v>
      </c>
      <c r="AT3" s="2" t="s">
        <v>79</v>
      </c>
      <c r="AU3" s="2" t="s">
        <v>86</v>
      </c>
      <c r="AV3" s="2" t="s">
        <v>86</v>
      </c>
      <c r="AX3" s="2" t="s">
        <v>222</v>
      </c>
      <c r="AY3" s="32" t="s">
        <v>267</v>
      </c>
      <c r="AZ3" s="2" t="s">
        <v>72</v>
      </c>
      <c r="BA3" s="2" t="s">
        <v>79</v>
      </c>
      <c r="BB3" s="2" t="s">
        <v>86</v>
      </c>
      <c r="BC3" s="2" t="s">
        <v>85</v>
      </c>
      <c r="BE3" s="10" t="s">
        <v>214</v>
      </c>
      <c r="BF3" s="32" t="s">
        <v>331</v>
      </c>
      <c r="BG3" s="10" t="s">
        <v>72</v>
      </c>
      <c r="BH3" s="10" t="s">
        <v>79</v>
      </c>
      <c r="BI3" s="10" t="s">
        <v>86</v>
      </c>
      <c r="BJ3" s="10" t="s">
        <v>86</v>
      </c>
    </row>
    <row r="4" spans="1:62">
      <c r="A4" s="8" t="s">
        <v>0</v>
      </c>
      <c r="B4" s="18" t="s">
        <v>93</v>
      </c>
      <c r="C4" s="10" t="s">
        <v>72</v>
      </c>
      <c r="D4" s="10" t="s">
        <v>79</v>
      </c>
      <c r="E4" s="10" t="s">
        <v>86</v>
      </c>
      <c r="F4" s="10" t="s">
        <v>86</v>
      </c>
      <c r="H4" s="3" t="s">
        <v>24</v>
      </c>
      <c r="I4" s="3" t="s">
        <v>116</v>
      </c>
      <c r="J4" s="10" t="s">
        <v>72</v>
      </c>
      <c r="K4" s="10" t="s">
        <v>79</v>
      </c>
      <c r="L4" s="10" t="s">
        <v>85</v>
      </c>
      <c r="M4" s="10" t="s">
        <v>86</v>
      </c>
      <c r="O4" s="10" t="s">
        <v>32</v>
      </c>
      <c r="P4" s="26" t="s">
        <v>124</v>
      </c>
      <c r="Q4" s="10" t="s">
        <v>72</v>
      </c>
      <c r="R4" s="10" t="s">
        <v>79</v>
      </c>
      <c r="S4" s="10" t="s">
        <v>85</v>
      </c>
      <c r="T4" s="10" t="s">
        <v>85</v>
      </c>
      <c r="V4" s="24" t="s">
        <v>66</v>
      </c>
      <c r="W4" s="10" t="s">
        <v>154</v>
      </c>
      <c r="X4" s="10" t="s">
        <v>72</v>
      </c>
      <c r="Y4" s="10" t="s">
        <v>79</v>
      </c>
      <c r="Z4" s="10" t="s">
        <v>85</v>
      </c>
      <c r="AA4" s="10" t="s">
        <v>85</v>
      </c>
      <c r="AC4" s="25" t="s">
        <v>189</v>
      </c>
      <c r="AD4" s="32" t="s">
        <v>307</v>
      </c>
      <c r="AE4" s="10" t="s">
        <v>72</v>
      </c>
      <c r="AF4" s="10" t="s">
        <v>79</v>
      </c>
      <c r="AG4" s="10" t="s">
        <v>85</v>
      </c>
      <c r="AH4" s="10" t="s">
        <v>86</v>
      </c>
      <c r="AJ4" s="10" t="s">
        <v>210</v>
      </c>
      <c r="AK4" s="1" t="s">
        <v>257</v>
      </c>
      <c r="AL4" s="10" t="s">
        <v>72</v>
      </c>
      <c r="AM4" s="10" t="s">
        <v>79</v>
      </c>
      <c r="AN4" s="10" t="s">
        <v>85</v>
      </c>
      <c r="AO4" s="10" t="s">
        <v>85</v>
      </c>
      <c r="AQ4" s="2" t="s">
        <v>215</v>
      </c>
      <c r="AR4" s="2" t="s">
        <v>262</v>
      </c>
      <c r="AS4" s="2" t="s">
        <v>72</v>
      </c>
      <c r="AT4" s="2" t="s">
        <v>79</v>
      </c>
      <c r="AU4" s="2" t="s">
        <v>86</v>
      </c>
      <c r="AV4" s="2" t="s">
        <v>85</v>
      </c>
      <c r="AX4" s="2" t="s">
        <v>215</v>
      </c>
      <c r="AY4" s="32" t="s">
        <v>268</v>
      </c>
      <c r="AZ4" s="2" t="s">
        <v>72</v>
      </c>
      <c r="BA4" s="2" t="s">
        <v>79</v>
      </c>
      <c r="BB4" s="2" t="s">
        <v>86</v>
      </c>
      <c r="BC4" s="2" t="s">
        <v>85</v>
      </c>
      <c r="BE4" s="10" t="s">
        <v>238</v>
      </c>
      <c r="BF4" s="32" t="s">
        <v>284</v>
      </c>
      <c r="BG4" s="10" t="s">
        <v>72</v>
      </c>
      <c r="BH4" s="10" t="s">
        <v>79</v>
      </c>
      <c r="BI4" s="10" t="s">
        <v>86</v>
      </c>
      <c r="BJ4" s="10" t="s">
        <v>86</v>
      </c>
    </row>
    <row r="5" spans="1:62">
      <c r="A5" s="34" t="s">
        <v>1</v>
      </c>
      <c r="B5" s="2" t="s">
        <v>323</v>
      </c>
      <c r="C5" s="10" t="s">
        <v>72</v>
      </c>
      <c r="D5" s="10" t="s">
        <v>84</v>
      </c>
      <c r="E5" s="10" t="s">
        <v>85</v>
      </c>
      <c r="F5" s="10" t="s">
        <v>85</v>
      </c>
      <c r="H5" s="2" t="s">
        <v>25</v>
      </c>
      <c r="I5" s="10" t="s">
        <v>117</v>
      </c>
      <c r="J5" s="10" t="s">
        <v>87</v>
      </c>
      <c r="K5" s="10" t="s">
        <v>84</v>
      </c>
      <c r="L5" s="10" t="s">
        <v>85</v>
      </c>
      <c r="M5" s="10" t="s">
        <v>86</v>
      </c>
      <c r="O5" s="10" t="s">
        <v>33</v>
      </c>
      <c r="P5" s="26" t="s">
        <v>125</v>
      </c>
      <c r="Q5" s="10" t="s">
        <v>72</v>
      </c>
      <c r="R5" s="10" t="s">
        <v>84</v>
      </c>
      <c r="S5" s="10" t="s">
        <v>85</v>
      </c>
      <c r="T5" s="10" t="s">
        <v>85</v>
      </c>
      <c r="V5" s="24" t="s">
        <v>67</v>
      </c>
      <c r="W5" s="10" t="s">
        <v>155</v>
      </c>
      <c r="X5" s="10" t="s">
        <v>72</v>
      </c>
      <c r="Y5" s="10" t="s">
        <v>84</v>
      </c>
      <c r="Z5" s="10" t="s">
        <v>85</v>
      </c>
      <c r="AA5" s="10" t="s">
        <v>86</v>
      </c>
      <c r="AC5" s="25" t="s">
        <v>249</v>
      </c>
      <c r="AD5" s="32" t="s">
        <v>308</v>
      </c>
      <c r="AE5" s="10" t="s">
        <v>72</v>
      </c>
      <c r="AF5" s="10" t="s">
        <v>79</v>
      </c>
      <c r="AG5" s="10" t="s">
        <v>85</v>
      </c>
      <c r="AH5" s="10" t="s">
        <v>86</v>
      </c>
      <c r="AJ5" s="10" t="s">
        <v>211</v>
      </c>
      <c r="AK5" s="1" t="s">
        <v>258</v>
      </c>
      <c r="AL5" s="10" t="s">
        <v>72</v>
      </c>
      <c r="AM5" s="10" t="s">
        <v>84</v>
      </c>
      <c r="AN5" s="10" t="s">
        <v>85</v>
      </c>
      <c r="AO5" s="10" t="s">
        <v>85</v>
      </c>
      <c r="AQ5" s="2" t="s">
        <v>216</v>
      </c>
      <c r="AR5" s="2" t="s">
        <v>324</v>
      </c>
      <c r="AS5" s="2" t="s">
        <v>72</v>
      </c>
      <c r="AT5" s="2" t="s">
        <v>79</v>
      </c>
      <c r="AU5" s="2" t="s">
        <v>85</v>
      </c>
      <c r="AV5" s="2" t="s">
        <v>85</v>
      </c>
      <c r="AX5" s="2" t="s">
        <v>223</v>
      </c>
      <c r="AY5" s="32" t="s">
        <v>269</v>
      </c>
      <c r="AZ5" s="2" t="s">
        <v>76</v>
      </c>
      <c r="BA5" s="2" t="s">
        <v>79</v>
      </c>
      <c r="BB5" s="2" t="s">
        <v>85</v>
      </c>
      <c r="BC5" s="2" t="s">
        <v>85</v>
      </c>
      <c r="BE5" s="10" t="s">
        <v>294</v>
      </c>
      <c r="BF5" s="32" t="s">
        <v>285</v>
      </c>
      <c r="BG5" s="10" t="s">
        <v>72</v>
      </c>
      <c r="BH5" s="10" t="s">
        <v>79</v>
      </c>
      <c r="BI5" s="10" t="s">
        <v>85</v>
      </c>
      <c r="BJ5" s="10" t="s">
        <v>86</v>
      </c>
    </row>
    <row r="6" spans="1:62">
      <c r="A6" s="9" t="s">
        <v>2</v>
      </c>
      <c r="B6" s="10" t="s">
        <v>95</v>
      </c>
      <c r="C6" s="10" t="s">
        <v>72</v>
      </c>
      <c r="D6" s="10" t="s">
        <v>79</v>
      </c>
      <c r="E6" s="10" t="s">
        <v>85</v>
      </c>
      <c r="F6" s="10" t="s">
        <v>85</v>
      </c>
      <c r="H6" s="2" t="s">
        <v>26</v>
      </c>
      <c r="I6" s="10" t="s">
        <v>118</v>
      </c>
      <c r="J6" s="10" t="s">
        <v>75</v>
      </c>
      <c r="K6" s="10" t="s">
        <v>84</v>
      </c>
      <c r="L6" s="10" t="s">
        <v>85</v>
      </c>
      <c r="M6" s="10" t="s">
        <v>85</v>
      </c>
      <c r="O6" s="3" t="s">
        <v>71</v>
      </c>
      <c r="P6" s="13" t="s">
        <v>119</v>
      </c>
      <c r="Q6" s="10" t="s">
        <v>72</v>
      </c>
      <c r="R6" s="10" t="s">
        <v>79</v>
      </c>
      <c r="S6" s="10" t="s">
        <v>86</v>
      </c>
      <c r="T6" s="10" t="s">
        <v>86</v>
      </c>
      <c r="V6" s="24" t="s">
        <v>68</v>
      </c>
      <c r="W6" s="10" t="s">
        <v>322</v>
      </c>
      <c r="X6" s="10" t="s">
        <v>75</v>
      </c>
      <c r="Y6" s="10" t="s">
        <v>84</v>
      </c>
      <c r="Z6" s="10" t="s">
        <v>85</v>
      </c>
      <c r="AA6" s="10" t="s">
        <v>86</v>
      </c>
      <c r="AC6" s="25" t="s">
        <v>190</v>
      </c>
      <c r="AD6" s="33" t="s">
        <v>295</v>
      </c>
      <c r="AE6" s="10" t="s">
        <v>72</v>
      </c>
      <c r="AF6" s="10" t="s">
        <v>79</v>
      </c>
      <c r="AG6" s="10" t="s">
        <v>86</v>
      </c>
      <c r="AH6" s="10" t="s">
        <v>86</v>
      </c>
      <c r="AJ6" s="10" t="s">
        <v>212</v>
      </c>
      <c r="AK6" s="1" t="s">
        <v>259</v>
      </c>
      <c r="AL6" s="10" t="s">
        <v>72</v>
      </c>
      <c r="AM6" s="10" t="s">
        <v>84</v>
      </c>
      <c r="AN6" s="10" t="s">
        <v>85</v>
      </c>
      <c r="AO6" s="10" t="s">
        <v>85</v>
      </c>
      <c r="AQ6" s="30" t="s">
        <v>217</v>
      </c>
      <c r="AR6" t="s">
        <v>266</v>
      </c>
      <c r="AS6" s="10" t="s">
        <v>87</v>
      </c>
      <c r="AT6" s="2" t="s">
        <v>79</v>
      </c>
      <c r="AU6" s="2" t="s">
        <v>85</v>
      </c>
      <c r="AV6" s="2" t="s">
        <v>85</v>
      </c>
      <c r="AX6" s="2" t="s">
        <v>224</v>
      </c>
      <c r="AY6" s="32" t="s">
        <v>270</v>
      </c>
      <c r="AZ6" s="2" t="s">
        <v>72</v>
      </c>
      <c r="BA6" s="2" t="s">
        <v>79</v>
      </c>
      <c r="BB6" s="2" t="s">
        <v>85</v>
      </c>
      <c r="BC6" s="2" t="s">
        <v>85</v>
      </c>
      <c r="BE6" s="10" t="s">
        <v>239</v>
      </c>
      <c r="BF6" s="32" t="s">
        <v>286</v>
      </c>
      <c r="BG6" s="10" t="s">
        <v>72</v>
      </c>
      <c r="BH6" s="10" t="s">
        <v>79</v>
      </c>
      <c r="BI6" s="10" t="s">
        <v>85</v>
      </c>
      <c r="BJ6" s="10" t="s">
        <v>86</v>
      </c>
    </row>
    <row r="7" spans="1:62">
      <c r="A7" s="9" t="s">
        <v>3</v>
      </c>
      <c r="B7" s="2" t="s">
        <v>327</v>
      </c>
      <c r="C7" s="10" t="s">
        <v>76</v>
      </c>
      <c r="D7" s="10" t="s">
        <v>84</v>
      </c>
      <c r="E7" s="10" t="s">
        <v>85</v>
      </c>
      <c r="F7" s="10" t="s">
        <v>85</v>
      </c>
      <c r="H7" s="3" t="s">
        <v>27</v>
      </c>
      <c r="I7" s="3" t="s">
        <v>119</v>
      </c>
      <c r="J7" s="10" t="s">
        <v>72</v>
      </c>
      <c r="K7" s="10" t="s">
        <v>79</v>
      </c>
      <c r="L7" s="10" t="s">
        <v>86</v>
      </c>
      <c r="M7" s="10" t="s">
        <v>86</v>
      </c>
      <c r="O7" s="10" t="s">
        <v>34</v>
      </c>
      <c r="P7" s="26" t="s">
        <v>126</v>
      </c>
      <c r="Q7" s="10" t="s">
        <v>72</v>
      </c>
      <c r="R7" s="10" t="s">
        <v>79</v>
      </c>
      <c r="S7" s="10" t="s">
        <v>86</v>
      </c>
      <c r="T7" s="10" t="s">
        <v>85</v>
      </c>
      <c r="V7" s="27" t="s">
        <v>69</v>
      </c>
      <c r="W7" s="13" t="s">
        <v>143</v>
      </c>
      <c r="X7" s="10" t="s">
        <v>72</v>
      </c>
      <c r="Y7" s="10" t="s">
        <v>79</v>
      </c>
      <c r="Z7" s="10" t="s">
        <v>86</v>
      </c>
      <c r="AA7" s="10" t="s">
        <v>86</v>
      </c>
      <c r="AC7" s="25" t="s">
        <v>31</v>
      </c>
      <c r="AD7" s="32" t="s">
        <v>309</v>
      </c>
      <c r="AE7" s="10" t="s">
        <v>72</v>
      </c>
      <c r="AF7" s="10" t="s">
        <v>84</v>
      </c>
      <c r="AG7" s="10" t="s">
        <v>85</v>
      </c>
      <c r="AH7" s="10" t="s">
        <v>86</v>
      </c>
      <c r="AJ7" s="10" t="s">
        <v>213</v>
      </c>
      <c r="AK7" s="1" t="s">
        <v>260</v>
      </c>
      <c r="AL7" s="10" t="s">
        <v>75</v>
      </c>
      <c r="AM7" s="10" t="s">
        <v>84</v>
      </c>
      <c r="AN7" s="10" t="s">
        <v>85</v>
      </c>
      <c r="AO7" s="10" t="s">
        <v>85</v>
      </c>
      <c r="AQ7" s="2" t="s">
        <v>218</v>
      </c>
      <c r="AR7" s="1" t="s">
        <v>263</v>
      </c>
      <c r="AS7" s="10" t="s">
        <v>75</v>
      </c>
      <c r="AT7" s="2" t="s">
        <v>84</v>
      </c>
      <c r="AU7" s="2" t="s">
        <v>85</v>
      </c>
      <c r="AV7" s="2" t="s">
        <v>85</v>
      </c>
      <c r="AX7" s="2" t="s">
        <v>225</v>
      </c>
      <c r="AY7" s="32" t="s">
        <v>271</v>
      </c>
      <c r="AZ7" s="2" t="s">
        <v>76</v>
      </c>
      <c r="BA7" s="2" t="s">
        <v>79</v>
      </c>
      <c r="BB7" s="2" t="s">
        <v>85</v>
      </c>
      <c r="BC7" s="2" t="s">
        <v>85</v>
      </c>
      <c r="BE7" s="10" t="s">
        <v>240</v>
      </c>
      <c r="BF7" s="32" t="s">
        <v>287</v>
      </c>
      <c r="BG7" s="10" t="s">
        <v>72</v>
      </c>
      <c r="BH7" s="10" t="s">
        <v>79</v>
      </c>
      <c r="BI7" s="10" t="s">
        <v>85</v>
      </c>
      <c r="BJ7" s="10" t="s">
        <v>86</v>
      </c>
    </row>
    <row r="8" spans="1:62">
      <c r="A8" s="9" t="s">
        <v>4</v>
      </c>
      <c r="B8" s="2" t="s">
        <v>328</v>
      </c>
      <c r="C8" s="10" t="s">
        <v>76</v>
      </c>
      <c r="D8" s="10" t="s">
        <v>84</v>
      </c>
      <c r="E8" s="10" t="s">
        <v>85</v>
      </c>
      <c r="F8" s="10" t="s">
        <v>85</v>
      </c>
      <c r="H8" s="2" t="s">
        <v>28</v>
      </c>
      <c r="I8" s="10" t="s">
        <v>120</v>
      </c>
      <c r="J8" s="10" t="s">
        <v>75</v>
      </c>
      <c r="K8" s="10" t="s">
        <v>84</v>
      </c>
      <c r="L8" s="10" t="s">
        <v>85</v>
      </c>
      <c r="M8" s="10" t="s">
        <v>86</v>
      </c>
      <c r="O8" s="10" t="s">
        <v>35</v>
      </c>
      <c r="P8" s="26" t="s">
        <v>127</v>
      </c>
      <c r="Q8" s="10" t="s">
        <v>72</v>
      </c>
      <c r="R8" s="10" t="s">
        <v>79</v>
      </c>
      <c r="S8" s="10" t="s">
        <v>85</v>
      </c>
      <c r="T8" s="10" t="s">
        <v>85</v>
      </c>
      <c r="V8" s="27" t="s">
        <v>70</v>
      </c>
      <c r="W8" s="13" t="s">
        <v>144</v>
      </c>
      <c r="X8" s="10" t="s">
        <v>72</v>
      </c>
      <c r="Y8" s="10" t="s">
        <v>79</v>
      </c>
      <c r="Z8" s="10" t="s">
        <v>86</v>
      </c>
      <c r="AA8" s="10" t="s">
        <v>86</v>
      </c>
      <c r="AC8" s="25" t="s">
        <v>191</v>
      </c>
      <c r="AD8" s="33" t="s">
        <v>142</v>
      </c>
      <c r="AE8" s="10" t="s">
        <v>72</v>
      </c>
      <c r="AF8" s="10" t="s">
        <v>84</v>
      </c>
      <c r="AG8" s="10" t="s">
        <v>85</v>
      </c>
      <c r="AH8" s="10" t="s">
        <v>85</v>
      </c>
      <c r="AJ8" s="19"/>
      <c r="AQ8" s="2" t="s">
        <v>219</v>
      </c>
      <c r="AR8" s="35" t="s">
        <v>325</v>
      </c>
      <c r="AS8" s="2" t="s">
        <v>76</v>
      </c>
      <c r="AT8" s="2" t="s">
        <v>79</v>
      </c>
      <c r="AU8" s="2" t="s">
        <v>85</v>
      </c>
      <c r="AV8" s="2" t="s">
        <v>85</v>
      </c>
      <c r="AX8" s="2" t="s">
        <v>226</v>
      </c>
      <c r="AY8" s="32" t="s">
        <v>272</v>
      </c>
      <c r="AZ8" s="2" t="s">
        <v>72</v>
      </c>
      <c r="BA8" s="2" t="s">
        <v>84</v>
      </c>
      <c r="BB8" s="2" t="s">
        <v>85</v>
      </c>
      <c r="BC8" s="2" t="s">
        <v>85</v>
      </c>
      <c r="BE8" s="10" t="s">
        <v>241</v>
      </c>
      <c r="BF8" s="32" t="s">
        <v>288</v>
      </c>
      <c r="BG8" s="10" t="s">
        <v>72</v>
      </c>
      <c r="BH8" s="10" t="s">
        <v>79</v>
      </c>
      <c r="BI8" s="10" t="s">
        <v>85</v>
      </c>
      <c r="BJ8" s="10" t="s">
        <v>86</v>
      </c>
    </row>
    <row r="9" spans="1:62" ht="16.899999999999999" customHeight="1">
      <c r="A9" s="9" t="s">
        <v>5</v>
      </c>
      <c r="B9" s="10" t="s">
        <v>98</v>
      </c>
      <c r="C9" s="10" t="s">
        <v>76</v>
      </c>
      <c r="D9" s="10" t="s">
        <v>84</v>
      </c>
      <c r="E9" s="10" t="s">
        <v>85</v>
      </c>
      <c r="F9" s="10" t="s">
        <v>85</v>
      </c>
      <c r="H9" s="2" t="s">
        <v>29</v>
      </c>
      <c r="I9" s="10" t="s">
        <v>121</v>
      </c>
      <c r="J9" s="10" t="s">
        <v>72</v>
      </c>
      <c r="K9" s="10" t="s">
        <v>84</v>
      </c>
      <c r="L9" s="10" t="s">
        <v>85</v>
      </c>
      <c r="M9" s="10" t="s">
        <v>85</v>
      </c>
      <c r="O9" s="10" t="s">
        <v>36</v>
      </c>
      <c r="P9" s="26" t="s">
        <v>128</v>
      </c>
      <c r="Q9" s="10" t="s">
        <v>87</v>
      </c>
      <c r="R9" s="10" t="s">
        <v>84</v>
      </c>
      <c r="S9" s="10" t="s">
        <v>85</v>
      </c>
      <c r="T9" s="10" t="s">
        <v>86</v>
      </c>
      <c r="AC9" s="25" t="s">
        <v>192</v>
      </c>
      <c r="AD9" s="32" t="s">
        <v>310</v>
      </c>
      <c r="AE9" s="10" t="s">
        <v>72</v>
      </c>
      <c r="AF9" s="10" t="s">
        <v>84</v>
      </c>
      <c r="AG9" s="10" t="s">
        <v>85</v>
      </c>
      <c r="AH9" s="10" t="s">
        <v>85</v>
      </c>
      <c r="AJ9" s="19"/>
      <c r="AQ9" s="2" t="s">
        <v>4</v>
      </c>
      <c r="AR9" s="35" t="s">
        <v>326</v>
      </c>
      <c r="AS9" s="2" t="s">
        <v>76</v>
      </c>
      <c r="AT9" s="2" t="s">
        <v>84</v>
      </c>
      <c r="AU9" s="2" t="s">
        <v>85</v>
      </c>
      <c r="AV9" s="2" t="s">
        <v>85</v>
      </c>
      <c r="AX9" s="2" t="s">
        <v>227</v>
      </c>
      <c r="AY9" s="32" t="s">
        <v>273</v>
      </c>
      <c r="AZ9" s="2" t="s">
        <v>76</v>
      </c>
      <c r="BA9" s="2" t="s">
        <v>84</v>
      </c>
      <c r="BB9" s="2" t="s">
        <v>85</v>
      </c>
      <c r="BC9" s="2" t="s">
        <v>85</v>
      </c>
      <c r="BE9" s="29" t="s">
        <v>242</v>
      </c>
      <c r="BF9" s="32" t="s">
        <v>289</v>
      </c>
      <c r="BG9" s="10" t="s">
        <v>72</v>
      </c>
      <c r="BH9" s="10" t="s">
        <v>79</v>
      </c>
      <c r="BI9" s="10" t="s">
        <v>85</v>
      </c>
      <c r="BJ9" s="10" t="s">
        <v>86</v>
      </c>
    </row>
    <row r="10" spans="1:62">
      <c r="A10" s="9" t="s">
        <v>6</v>
      </c>
      <c r="B10" s="10" t="s">
        <v>99</v>
      </c>
      <c r="C10" s="10" t="s">
        <v>72</v>
      </c>
      <c r="D10" s="10" t="s">
        <v>79</v>
      </c>
      <c r="E10" s="10" t="s">
        <v>85</v>
      </c>
      <c r="F10" s="10" t="s">
        <v>85</v>
      </c>
      <c r="H10" s="2" t="s">
        <v>30</v>
      </c>
      <c r="I10" s="10" t="s">
        <v>122</v>
      </c>
      <c r="J10" s="10" t="s">
        <v>87</v>
      </c>
      <c r="K10" s="10" t="s">
        <v>84</v>
      </c>
      <c r="L10" s="10" t="s">
        <v>85</v>
      </c>
      <c r="M10" s="10" t="s">
        <v>85</v>
      </c>
      <c r="O10" s="10" t="s">
        <v>37</v>
      </c>
      <c r="P10" t="s">
        <v>332</v>
      </c>
      <c r="Q10" s="10" t="s">
        <v>72</v>
      </c>
      <c r="R10" s="10" t="s">
        <v>79</v>
      </c>
      <c r="S10" s="10" t="s">
        <v>85</v>
      </c>
      <c r="T10" s="10" t="s">
        <v>85</v>
      </c>
      <c r="AC10" s="25" t="s">
        <v>193</v>
      </c>
      <c r="AD10" s="32" t="s">
        <v>311</v>
      </c>
      <c r="AE10" s="10" t="s">
        <v>72</v>
      </c>
      <c r="AF10" s="10" t="s">
        <v>79</v>
      </c>
      <c r="AG10" s="10" t="s">
        <v>85</v>
      </c>
      <c r="AH10" s="10" t="s">
        <v>86</v>
      </c>
      <c r="AJ10" s="19"/>
      <c r="AQ10" s="2" t="s">
        <v>220</v>
      </c>
      <c r="AR10" s="1" t="s">
        <v>264</v>
      </c>
      <c r="AS10" s="2" t="s">
        <v>76</v>
      </c>
      <c r="AT10" s="2" t="s">
        <v>84</v>
      </c>
      <c r="AU10" s="2" t="s">
        <v>85</v>
      </c>
      <c r="AV10" s="2" t="s">
        <v>85</v>
      </c>
      <c r="AX10" s="2" t="s">
        <v>228</v>
      </c>
      <c r="AY10" s="32" t="s">
        <v>274</v>
      </c>
      <c r="AZ10" s="2" t="s">
        <v>72</v>
      </c>
      <c r="BA10" s="2" t="s">
        <v>84</v>
      </c>
      <c r="BB10" s="2" t="s">
        <v>85</v>
      </c>
      <c r="BC10" s="2" t="s">
        <v>85</v>
      </c>
      <c r="BE10" s="10" t="s">
        <v>243</v>
      </c>
      <c r="BF10" s="32" t="s">
        <v>290</v>
      </c>
      <c r="BG10" s="10" t="s">
        <v>72</v>
      </c>
      <c r="BH10" s="10" t="s">
        <v>79</v>
      </c>
      <c r="BI10" s="10" t="s">
        <v>85</v>
      </c>
      <c r="BJ10" s="10" t="s">
        <v>86</v>
      </c>
    </row>
    <row r="11" spans="1:62">
      <c r="A11" s="9" t="s">
        <v>7</v>
      </c>
      <c r="B11" s="10" t="s">
        <v>100</v>
      </c>
      <c r="C11" s="10" t="s">
        <v>72</v>
      </c>
      <c r="D11" s="10" t="s">
        <v>79</v>
      </c>
      <c r="E11" s="10" t="s">
        <v>85</v>
      </c>
      <c r="F11" s="10" t="s">
        <v>85</v>
      </c>
      <c r="O11" s="10" t="s">
        <v>38</v>
      </c>
      <c r="P11" t="s">
        <v>334</v>
      </c>
      <c r="Q11" s="10" t="s">
        <v>72</v>
      </c>
      <c r="R11" s="10" t="s">
        <v>84</v>
      </c>
      <c r="S11" s="10" t="s">
        <v>85</v>
      </c>
      <c r="T11" s="10" t="s">
        <v>85</v>
      </c>
      <c r="AC11" s="25" t="s">
        <v>194</v>
      </c>
      <c r="AD11" s="32" t="s">
        <v>312</v>
      </c>
      <c r="AE11" s="10" t="s">
        <v>208</v>
      </c>
      <c r="AF11" s="10" t="s">
        <v>84</v>
      </c>
      <c r="AG11" s="10" t="s">
        <v>85</v>
      </c>
      <c r="AH11" s="10" t="s">
        <v>85</v>
      </c>
      <c r="AQ11" s="2" t="s">
        <v>221</v>
      </c>
      <c r="AR11" s="1" t="s">
        <v>265</v>
      </c>
      <c r="AS11" s="2" t="s">
        <v>76</v>
      </c>
      <c r="AT11" s="2" t="s">
        <v>84</v>
      </c>
      <c r="AU11" s="2" t="s">
        <v>85</v>
      </c>
      <c r="AV11" s="2" t="s">
        <v>85</v>
      </c>
      <c r="AX11" s="2" t="s">
        <v>229</v>
      </c>
      <c r="AY11" s="32" t="s">
        <v>275</v>
      </c>
      <c r="AZ11" s="2" t="s">
        <v>76</v>
      </c>
      <c r="BA11" s="2" t="s">
        <v>84</v>
      </c>
      <c r="BB11" s="2" t="s">
        <v>85</v>
      </c>
      <c r="BC11" s="2" t="s">
        <v>85</v>
      </c>
      <c r="BE11" s="10" t="s">
        <v>244</v>
      </c>
      <c r="BF11" s="32" t="s">
        <v>291</v>
      </c>
      <c r="BG11" s="10" t="s">
        <v>75</v>
      </c>
      <c r="BH11" s="10" t="s">
        <v>84</v>
      </c>
      <c r="BI11" s="10" t="s">
        <v>85</v>
      </c>
      <c r="BJ11" s="10" t="s">
        <v>86</v>
      </c>
    </row>
    <row r="12" spans="1:62">
      <c r="A12" s="9" t="s">
        <v>8</v>
      </c>
      <c r="B12" s="10" t="s">
        <v>101</v>
      </c>
      <c r="C12" s="10" t="s">
        <v>72</v>
      </c>
      <c r="D12" s="10" t="s">
        <v>79</v>
      </c>
      <c r="E12" s="10" t="s">
        <v>85</v>
      </c>
      <c r="F12" s="10" t="s">
        <v>85</v>
      </c>
      <c r="O12" s="10" t="s">
        <v>39</v>
      </c>
      <c r="P12" s="26" t="s">
        <v>131</v>
      </c>
      <c r="Q12" s="10" t="s">
        <v>75</v>
      </c>
      <c r="R12" s="10" t="s">
        <v>84</v>
      </c>
      <c r="S12" s="10" t="s">
        <v>85</v>
      </c>
      <c r="T12" s="10" t="s">
        <v>85</v>
      </c>
      <c r="AC12" s="25" t="s">
        <v>195</v>
      </c>
      <c r="AD12" s="32" t="s">
        <v>313</v>
      </c>
      <c r="AE12" s="10" t="s">
        <v>208</v>
      </c>
      <c r="AF12" s="10" t="s">
        <v>84</v>
      </c>
      <c r="AG12" s="10" t="s">
        <v>85</v>
      </c>
      <c r="AH12" s="10" t="s">
        <v>85</v>
      </c>
      <c r="AR12"/>
      <c r="AX12" s="2" t="s">
        <v>230</v>
      </c>
      <c r="AY12" s="32" t="s">
        <v>276</v>
      </c>
      <c r="AZ12" s="10" t="s">
        <v>87</v>
      </c>
      <c r="BA12" s="2" t="s">
        <v>79</v>
      </c>
      <c r="BB12" s="2" t="s">
        <v>85</v>
      </c>
      <c r="BC12" s="2" t="s">
        <v>85</v>
      </c>
      <c r="BE12" s="10" t="s">
        <v>245</v>
      </c>
      <c r="BF12" t="s">
        <v>333</v>
      </c>
      <c r="BG12" s="10" t="s">
        <v>72</v>
      </c>
      <c r="BH12" s="10" t="s">
        <v>84</v>
      </c>
      <c r="BI12" s="10" t="s">
        <v>85</v>
      </c>
      <c r="BJ12" s="10" t="s">
        <v>85</v>
      </c>
    </row>
    <row r="13" spans="1:62">
      <c r="A13" s="9" t="s">
        <v>9</v>
      </c>
      <c r="B13" s="10" t="s">
        <v>102</v>
      </c>
      <c r="C13" s="10" t="s">
        <v>72</v>
      </c>
      <c r="D13" s="10" t="s">
        <v>79</v>
      </c>
      <c r="E13" s="10" t="s">
        <v>85</v>
      </c>
      <c r="F13" s="10" t="s">
        <v>85</v>
      </c>
      <c r="O13" s="10" t="s">
        <v>40</v>
      </c>
      <c r="P13" s="26" t="s">
        <v>132</v>
      </c>
      <c r="Q13" s="10" t="s">
        <v>75</v>
      </c>
      <c r="R13" s="10" t="s">
        <v>84</v>
      </c>
      <c r="S13" s="10" t="s">
        <v>85</v>
      </c>
      <c r="T13" s="10" t="s">
        <v>86</v>
      </c>
      <c r="AC13" s="25" t="s">
        <v>196</v>
      </c>
      <c r="AD13" s="32" t="s">
        <v>314</v>
      </c>
      <c r="AE13" s="10" t="s">
        <v>208</v>
      </c>
      <c r="AF13" s="10" t="s">
        <v>84</v>
      </c>
      <c r="AG13" s="10" t="s">
        <v>85</v>
      </c>
      <c r="AH13" s="10" t="s">
        <v>85</v>
      </c>
      <c r="AX13" s="2" t="s">
        <v>231</v>
      </c>
      <c r="AY13" s="32" t="s">
        <v>277</v>
      </c>
      <c r="AZ13" s="10" t="s">
        <v>87</v>
      </c>
      <c r="BA13" s="2" t="s">
        <v>84</v>
      </c>
      <c r="BB13" s="2" t="s">
        <v>85</v>
      </c>
      <c r="BC13" s="2" t="s">
        <v>85</v>
      </c>
      <c r="BE13" s="10" t="s">
        <v>62</v>
      </c>
      <c r="BF13" s="33" t="s">
        <v>292</v>
      </c>
      <c r="BG13" s="10" t="s">
        <v>76</v>
      </c>
      <c r="BH13" s="10" t="s">
        <v>84</v>
      </c>
      <c r="BI13" s="10" t="s">
        <v>85</v>
      </c>
      <c r="BJ13" s="10" t="s">
        <v>85</v>
      </c>
    </row>
    <row r="14" spans="1:62">
      <c r="A14" s="9" t="s">
        <v>10</v>
      </c>
      <c r="B14" s="10" t="s">
        <v>103</v>
      </c>
      <c r="C14" s="10" t="s">
        <v>72</v>
      </c>
      <c r="D14" s="10" t="s">
        <v>79</v>
      </c>
      <c r="E14" s="10" t="s">
        <v>85</v>
      </c>
      <c r="F14" s="10" t="s">
        <v>85</v>
      </c>
      <c r="O14" s="10" t="s">
        <v>41</v>
      </c>
      <c r="P14" s="26" t="s">
        <v>133</v>
      </c>
      <c r="Q14" s="10" t="s">
        <v>75</v>
      </c>
      <c r="R14" s="10" t="s">
        <v>84</v>
      </c>
      <c r="S14" s="10" t="s">
        <v>85</v>
      </c>
      <c r="T14" s="10" t="s">
        <v>86</v>
      </c>
      <c r="AC14" s="25" t="s">
        <v>197</v>
      </c>
      <c r="AD14" s="32" t="s">
        <v>315</v>
      </c>
      <c r="AE14" s="10" t="s">
        <v>208</v>
      </c>
      <c r="AF14" s="10" t="s">
        <v>84</v>
      </c>
      <c r="AG14" s="10" t="s">
        <v>85</v>
      </c>
      <c r="AH14" s="10" t="s">
        <v>85</v>
      </c>
      <c r="AX14" s="2" t="s">
        <v>232</v>
      </c>
      <c r="AY14" s="32" t="s">
        <v>278</v>
      </c>
      <c r="AZ14" s="10" t="s">
        <v>87</v>
      </c>
      <c r="BA14" s="2" t="s">
        <v>84</v>
      </c>
      <c r="BB14" s="2" t="s">
        <v>85</v>
      </c>
      <c r="BC14" s="2" t="s">
        <v>85</v>
      </c>
      <c r="BE14" s="10" t="s">
        <v>246</v>
      </c>
      <c r="BF14" s="33" t="s">
        <v>157</v>
      </c>
      <c r="BG14" s="10" t="s">
        <v>72</v>
      </c>
      <c r="BH14" s="10" t="s">
        <v>84</v>
      </c>
      <c r="BI14" s="10" t="s">
        <v>85</v>
      </c>
      <c r="BJ14" s="10" t="s">
        <v>85</v>
      </c>
    </row>
    <row r="15" spans="1:62">
      <c r="A15" s="9" t="s">
        <v>11</v>
      </c>
      <c r="B15" s="10" t="s">
        <v>104</v>
      </c>
      <c r="C15" s="10" t="s">
        <v>72</v>
      </c>
      <c r="D15" s="10" t="s">
        <v>79</v>
      </c>
      <c r="E15" s="10" t="s">
        <v>85</v>
      </c>
      <c r="F15" s="10" t="s">
        <v>85</v>
      </c>
      <c r="O15" s="10" t="s">
        <v>42</v>
      </c>
      <c r="P15" s="26" t="s">
        <v>134</v>
      </c>
      <c r="Q15" s="10" t="s">
        <v>75</v>
      </c>
      <c r="R15" s="10" t="s">
        <v>84</v>
      </c>
      <c r="S15" s="10" t="s">
        <v>85</v>
      </c>
      <c r="T15" s="10" t="s">
        <v>86</v>
      </c>
      <c r="AC15" s="25" t="s">
        <v>198</v>
      </c>
      <c r="AD15" s="32" t="s">
        <v>316</v>
      </c>
      <c r="AE15" s="10" t="s">
        <v>208</v>
      </c>
      <c r="AF15" s="10" t="s">
        <v>84</v>
      </c>
      <c r="AG15" s="10" t="s">
        <v>85</v>
      </c>
      <c r="AH15" s="10" t="s">
        <v>85</v>
      </c>
      <c r="AX15" s="2" t="s">
        <v>233</v>
      </c>
      <c r="AY15" s="32" t="s">
        <v>279</v>
      </c>
      <c r="AZ15" s="10" t="s">
        <v>87</v>
      </c>
      <c r="BA15" s="2" t="s">
        <v>84</v>
      </c>
      <c r="BB15" s="2" t="s">
        <v>85</v>
      </c>
      <c r="BC15" s="2" t="s">
        <v>85</v>
      </c>
      <c r="BE15" s="10" t="s">
        <v>247</v>
      </c>
      <c r="BF15" s="33" t="s">
        <v>152</v>
      </c>
      <c r="BG15" s="10" t="s">
        <v>76</v>
      </c>
      <c r="BH15" s="10" t="s">
        <v>84</v>
      </c>
      <c r="BI15" s="10" t="s">
        <v>85</v>
      </c>
      <c r="BJ15" s="10" t="s">
        <v>85</v>
      </c>
    </row>
    <row r="16" spans="1:62">
      <c r="A16" s="31" t="s">
        <v>12</v>
      </c>
      <c r="B16" s="30" t="s">
        <v>105</v>
      </c>
      <c r="C16" s="10" t="s">
        <v>87</v>
      </c>
      <c r="D16" s="10" t="s">
        <v>84</v>
      </c>
      <c r="E16" s="10" t="s">
        <v>85</v>
      </c>
      <c r="F16" s="10" t="s">
        <v>85</v>
      </c>
      <c r="O16" s="10" t="s">
        <v>43</v>
      </c>
      <c r="P16" s="26" t="s">
        <v>135</v>
      </c>
      <c r="Q16" s="10" t="s">
        <v>75</v>
      </c>
      <c r="R16" s="10" t="s">
        <v>84</v>
      </c>
      <c r="S16" s="10" t="s">
        <v>85</v>
      </c>
      <c r="T16" s="10" t="s">
        <v>86</v>
      </c>
      <c r="AC16" s="25" t="s">
        <v>199</v>
      </c>
      <c r="AD16" s="32" t="s">
        <v>317</v>
      </c>
      <c r="AE16" s="10" t="s">
        <v>208</v>
      </c>
      <c r="AF16" s="10" t="s">
        <v>84</v>
      </c>
      <c r="AG16" s="10" t="s">
        <v>85</v>
      </c>
      <c r="AH16" s="10" t="s">
        <v>85</v>
      </c>
      <c r="AX16" s="2" t="s">
        <v>234</v>
      </c>
      <c r="AY16" s="32" t="s">
        <v>280</v>
      </c>
      <c r="AZ16" s="10" t="s">
        <v>87</v>
      </c>
      <c r="BA16" s="2" t="s">
        <v>84</v>
      </c>
      <c r="BB16" s="2" t="s">
        <v>85</v>
      </c>
      <c r="BC16" s="2" t="s">
        <v>85</v>
      </c>
      <c r="BE16" s="10" t="s">
        <v>248</v>
      </c>
      <c r="BF16" s="33" t="s">
        <v>293</v>
      </c>
      <c r="BG16" s="10" t="s">
        <v>72</v>
      </c>
      <c r="BH16" s="10" t="s">
        <v>84</v>
      </c>
      <c r="BI16" s="10" t="s">
        <v>85</v>
      </c>
      <c r="BJ16" s="10" t="s">
        <v>85</v>
      </c>
    </row>
    <row r="17" spans="1:55">
      <c r="A17" s="9" t="s">
        <v>13</v>
      </c>
      <c r="B17" s="10" t="s">
        <v>106</v>
      </c>
      <c r="C17" s="10" t="s">
        <v>72</v>
      </c>
      <c r="D17" s="10" t="s">
        <v>84</v>
      </c>
      <c r="E17" s="10" t="s">
        <v>85</v>
      </c>
      <c r="F17" s="10" t="s">
        <v>85</v>
      </c>
      <c r="O17" s="10" t="s">
        <v>44</v>
      </c>
      <c r="P17" s="26" t="s">
        <v>136</v>
      </c>
      <c r="Q17" s="10" t="s">
        <v>72</v>
      </c>
      <c r="R17" s="10" t="s">
        <v>84</v>
      </c>
      <c r="S17" s="10" t="s">
        <v>85</v>
      </c>
      <c r="T17" s="10" t="s">
        <v>86</v>
      </c>
      <c r="AC17" s="25" t="s">
        <v>200</v>
      </c>
      <c r="AD17" s="32" t="s">
        <v>318</v>
      </c>
      <c r="AE17" s="10" t="s">
        <v>208</v>
      </c>
      <c r="AF17" s="10" t="s">
        <v>84</v>
      </c>
      <c r="AG17" s="10" t="s">
        <v>85</v>
      </c>
      <c r="AH17" s="10" t="s">
        <v>85</v>
      </c>
      <c r="AX17" s="2" t="s">
        <v>235</v>
      </c>
      <c r="AY17" s="32" t="s">
        <v>281</v>
      </c>
      <c r="AZ17" s="2" t="s">
        <v>72</v>
      </c>
      <c r="BA17" s="2" t="s">
        <v>84</v>
      </c>
      <c r="BB17" s="2" t="s">
        <v>85</v>
      </c>
      <c r="BC17" s="2" t="s">
        <v>85</v>
      </c>
    </row>
    <row r="18" spans="1:55">
      <c r="A18" s="9" t="s">
        <v>14</v>
      </c>
      <c r="B18" s="10" t="s">
        <v>107</v>
      </c>
      <c r="C18" s="10" t="s">
        <v>72</v>
      </c>
      <c r="D18" s="10" t="s">
        <v>84</v>
      </c>
      <c r="E18" s="10" t="s">
        <v>85</v>
      </c>
      <c r="F18" s="10" t="s">
        <v>85</v>
      </c>
      <c r="O18" s="10" t="s">
        <v>329</v>
      </c>
      <c r="P18" s="26" t="s">
        <v>137</v>
      </c>
      <c r="Q18" s="10" t="s">
        <v>75</v>
      </c>
      <c r="R18" s="10" t="s">
        <v>84</v>
      </c>
      <c r="S18" s="10" t="s">
        <v>85</v>
      </c>
      <c r="T18" s="10" t="s">
        <v>85</v>
      </c>
      <c r="AC18" s="25" t="s">
        <v>201</v>
      </c>
      <c r="AD18" s="32" t="s">
        <v>319</v>
      </c>
      <c r="AE18" s="10" t="s">
        <v>208</v>
      </c>
      <c r="AF18" s="10" t="s">
        <v>84</v>
      </c>
      <c r="AG18" s="10" t="s">
        <v>85</v>
      </c>
      <c r="AH18" s="10" t="s">
        <v>85</v>
      </c>
      <c r="AX18" s="2" t="s">
        <v>236</v>
      </c>
      <c r="AY18" s="32" t="s">
        <v>282</v>
      </c>
      <c r="AZ18" s="2" t="s">
        <v>76</v>
      </c>
      <c r="BA18" s="2" t="s">
        <v>84</v>
      </c>
      <c r="BB18" s="2" t="s">
        <v>85</v>
      </c>
      <c r="BC18" s="2" t="s">
        <v>85</v>
      </c>
    </row>
    <row r="19" spans="1:55">
      <c r="A19" s="9" t="s">
        <v>15</v>
      </c>
      <c r="B19" s="10" t="s">
        <v>108</v>
      </c>
      <c r="C19" s="10" t="s">
        <v>87</v>
      </c>
      <c r="D19" s="10" t="s">
        <v>84</v>
      </c>
      <c r="E19" s="10" t="s">
        <v>85</v>
      </c>
      <c r="F19" s="10" t="s">
        <v>85</v>
      </c>
      <c r="O19" s="10" t="s">
        <v>46</v>
      </c>
      <c r="P19" s="26" t="s">
        <v>138</v>
      </c>
      <c r="Q19" s="10" t="s">
        <v>72</v>
      </c>
      <c r="R19" s="10" t="s">
        <v>84</v>
      </c>
      <c r="S19" s="10" t="s">
        <v>85</v>
      </c>
      <c r="T19" s="10" t="s">
        <v>85</v>
      </c>
      <c r="AC19" s="25" t="s">
        <v>202</v>
      </c>
      <c r="AD19" s="32" t="s">
        <v>320</v>
      </c>
      <c r="AE19" s="10" t="s">
        <v>208</v>
      </c>
      <c r="AF19" s="10" t="s">
        <v>84</v>
      </c>
      <c r="AG19" s="10" t="s">
        <v>85</v>
      </c>
      <c r="AH19" s="10" t="s">
        <v>85</v>
      </c>
      <c r="AX19" s="2" t="s">
        <v>237</v>
      </c>
      <c r="AY19" s="32" t="s">
        <v>283</v>
      </c>
      <c r="AZ19" s="2" t="s">
        <v>72</v>
      </c>
      <c r="BA19" s="2" t="s">
        <v>84</v>
      </c>
      <c r="BB19" s="2" t="s">
        <v>85</v>
      </c>
      <c r="BC19" s="2" t="s">
        <v>85</v>
      </c>
    </row>
    <row r="20" spans="1:55">
      <c r="A20" s="9" t="s">
        <v>16</v>
      </c>
      <c r="B20" s="10" t="s">
        <v>109</v>
      </c>
      <c r="C20" s="10" t="s">
        <v>76</v>
      </c>
      <c r="D20" s="10" t="s">
        <v>84</v>
      </c>
      <c r="E20" s="10" t="s">
        <v>85</v>
      </c>
      <c r="F20" s="10" t="s">
        <v>85</v>
      </c>
      <c r="O20" s="10" t="s">
        <v>47</v>
      </c>
      <c r="P20" s="26" t="s">
        <v>139</v>
      </c>
      <c r="Q20" s="10" t="s">
        <v>72</v>
      </c>
      <c r="R20" s="10" t="s">
        <v>84</v>
      </c>
      <c r="S20" s="10" t="s">
        <v>85</v>
      </c>
      <c r="T20" s="10" t="s">
        <v>85</v>
      </c>
      <c r="AC20" s="25" t="s">
        <v>203</v>
      </c>
      <c r="AD20" s="32" t="s">
        <v>321</v>
      </c>
      <c r="AE20" s="10" t="s">
        <v>208</v>
      </c>
      <c r="AF20" s="10" t="s">
        <v>84</v>
      </c>
      <c r="AG20" s="10" t="s">
        <v>85</v>
      </c>
      <c r="AH20" s="10" t="s">
        <v>85</v>
      </c>
    </row>
    <row r="21" spans="1:55">
      <c r="A21" s="9" t="s">
        <v>17</v>
      </c>
      <c r="B21" s="10" t="s">
        <v>110</v>
      </c>
      <c r="C21" s="10" t="s">
        <v>76</v>
      </c>
      <c r="D21" s="10" t="s">
        <v>84</v>
      </c>
      <c r="E21" s="10" t="s">
        <v>85</v>
      </c>
      <c r="F21" s="10" t="s">
        <v>85</v>
      </c>
      <c r="O21" s="10" t="s">
        <v>48</v>
      </c>
      <c r="P21" s="26" t="s">
        <v>140</v>
      </c>
      <c r="Q21" s="10" t="s">
        <v>72</v>
      </c>
      <c r="R21" s="10" t="s">
        <v>84</v>
      </c>
      <c r="S21" s="10" t="s">
        <v>85</v>
      </c>
      <c r="T21" s="10" t="s">
        <v>86</v>
      </c>
      <c r="AC21" s="25" t="s">
        <v>204</v>
      </c>
      <c r="AD21" s="32" t="s">
        <v>296</v>
      </c>
      <c r="AE21" s="10" t="s">
        <v>72</v>
      </c>
      <c r="AF21" s="10" t="s">
        <v>79</v>
      </c>
      <c r="AG21" s="10" t="s">
        <v>85</v>
      </c>
      <c r="AH21" s="10" t="s">
        <v>85</v>
      </c>
    </row>
    <row r="22" spans="1:55">
      <c r="A22" s="9" t="s">
        <v>18</v>
      </c>
      <c r="B22" s="10" t="s">
        <v>111</v>
      </c>
      <c r="C22" s="10" t="s">
        <v>87</v>
      </c>
      <c r="D22" s="10" t="s">
        <v>79</v>
      </c>
      <c r="E22" s="10" t="s">
        <v>85</v>
      </c>
      <c r="F22" s="10" t="s">
        <v>85</v>
      </c>
      <c r="O22" s="10" t="s">
        <v>49</v>
      </c>
      <c r="P22" s="26" t="s">
        <v>141</v>
      </c>
      <c r="Q22" s="10" t="s">
        <v>72</v>
      </c>
      <c r="R22" s="10" t="s">
        <v>84</v>
      </c>
      <c r="S22" s="10" t="s">
        <v>85</v>
      </c>
      <c r="T22" s="10" t="s">
        <v>85</v>
      </c>
      <c r="AC22" s="25" t="s">
        <v>250</v>
      </c>
      <c r="AD22" s="32" t="s">
        <v>297</v>
      </c>
      <c r="AE22" s="10" t="s">
        <v>72</v>
      </c>
      <c r="AF22" s="10" t="s">
        <v>84</v>
      </c>
      <c r="AG22" s="10" t="s">
        <v>85</v>
      </c>
      <c r="AH22" s="10" t="s">
        <v>85</v>
      </c>
    </row>
    <row r="23" spans="1:55">
      <c r="A23" s="9" t="s">
        <v>19</v>
      </c>
      <c r="B23" s="10" t="s">
        <v>112</v>
      </c>
      <c r="C23" s="10" t="s">
        <v>76</v>
      </c>
      <c r="D23" s="10" t="s">
        <v>84</v>
      </c>
      <c r="E23" s="10" t="s">
        <v>85</v>
      </c>
      <c r="F23" s="10" t="s">
        <v>85</v>
      </c>
      <c r="O23" s="10" t="s">
        <v>50</v>
      </c>
      <c r="P23" s="28" t="s">
        <v>142</v>
      </c>
      <c r="Q23" s="10" t="s">
        <v>72</v>
      </c>
      <c r="R23" s="10" t="s">
        <v>84</v>
      </c>
      <c r="S23" s="10" t="s">
        <v>85</v>
      </c>
      <c r="T23" s="10" t="s">
        <v>85</v>
      </c>
      <c r="AC23" s="25" t="s">
        <v>251</v>
      </c>
      <c r="AD23" s="32" t="s">
        <v>298</v>
      </c>
      <c r="AE23" s="10" t="s">
        <v>87</v>
      </c>
      <c r="AF23" s="10" t="s">
        <v>84</v>
      </c>
      <c r="AG23" s="10" t="s">
        <v>85</v>
      </c>
      <c r="AH23" s="10" t="s">
        <v>85</v>
      </c>
    </row>
    <row r="24" spans="1:55">
      <c r="A24" s="9" t="s">
        <v>20</v>
      </c>
      <c r="B24" s="10" t="s">
        <v>113</v>
      </c>
      <c r="C24" s="10" t="s">
        <v>75</v>
      </c>
      <c r="D24" s="10" t="s">
        <v>84</v>
      </c>
      <c r="E24" s="10" t="s">
        <v>85</v>
      </c>
      <c r="F24" s="10" t="s">
        <v>85</v>
      </c>
      <c r="O24" s="10" t="s">
        <v>51</v>
      </c>
      <c r="P24" s="28" t="s">
        <v>143</v>
      </c>
      <c r="Q24" s="10" t="s">
        <v>72</v>
      </c>
      <c r="R24" s="10" t="s">
        <v>84</v>
      </c>
      <c r="S24" s="10" t="s">
        <v>85</v>
      </c>
      <c r="T24" s="10" t="s">
        <v>85</v>
      </c>
      <c r="AC24" s="25" t="s">
        <v>205</v>
      </c>
      <c r="AD24" s="32" t="s">
        <v>299</v>
      </c>
      <c r="AE24" s="10" t="s">
        <v>72</v>
      </c>
      <c r="AF24" s="10" t="s">
        <v>79</v>
      </c>
      <c r="AG24" s="10" t="s">
        <v>85</v>
      </c>
      <c r="AH24" s="10" t="s">
        <v>85</v>
      </c>
    </row>
    <row r="25" spans="1:55">
      <c r="A25" s="9" t="s">
        <v>21</v>
      </c>
      <c r="B25" s="10" t="s">
        <v>114</v>
      </c>
      <c r="C25" s="10" t="s">
        <v>72</v>
      </c>
      <c r="D25" s="10" t="s">
        <v>84</v>
      </c>
      <c r="E25" s="10" t="s">
        <v>85</v>
      </c>
      <c r="F25" s="10" t="s">
        <v>85</v>
      </c>
      <c r="O25" s="10" t="s">
        <v>78</v>
      </c>
      <c r="P25" s="28" t="s">
        <v>144</v>
      </c>
      <c r="Q25" s="10" t="s">
        <v>77</v>
      </c>
      <c r="R25" s="10" t="s">
        <v>84</v>
      </c>
      <c r="S25" s="10" t="s">
        <v>85</v>
      </c>
      <c r="T25" s="10" t="s">
        <v>85</v>
      </c>
      <c r="AC25" s="25" t="s">
        <v>206</v>
      </c>
      <c r="AD25" s="32" t="s">
        <v>300</v>
      </c>
      <c r="AE25" s="10" t="s">
        <v>72</v>
      </c>
      <c r="AF25" s="10" t="s">
        <v>84</v>
      </c>
      <c r="AG25" s="10" t="s">
        <v>85</v>
      </c>
      <c r="AH25" s="10" t="s">
        <v>85</v>
      </c>
    </row>
    <row r="26" spans="1:55">
      <c r="A26" s="9" t="s">
        <v>22</v>
      </c>
      <c r="B26" s="10" t="s">
        <v>115</v>
      </c>
      <c r="C26" s="10" t="s">
        <v>75</v>
      </c>
      <c r="D26" s="10" t="s">
        <v>84</v>
      </c>
      <c r="E26" s="10" t="s">
        <v>85</v>
      </c>
      <c r="F26" s="10" t="s">
        <v>85</v>
      </c>
      <c r="O26" s="10" t="s">
        <v>52</v>
      </c>
      <c r="P26" s="28" t="s">
        <v>145</v>
      </c>
      <c r="Q26" s="10" t="s">
        <v>72</v>
      </c>
      <c r="R26" s="10" t="s">
        <v>84</v>
      </c>
      <c r="S26" s="10" t="s">
        <v>85</v>
      </c>
      <c r="T26" s="10" t="s">
        <v>85</v>
      </c>
      <c r="AC26" s="25" t="s">
        <v>252</v>
      </c>
      <c r="AD26" s="32" t="s">
        <v>301</v>
      </c>
      <c r="AE26" s="10" t="s">
        <v>72</v>
      </c>
      <c r="AF26" s="10" t="s">
        <v>84</v>
      </c>
      <c r="AG26" s="10" t="s">
        <v>85</v>
      </c>
      <c r="AH26" s="10" t="s">
        <v>85</v>
      </c>
    </row>
    <row r="27" spans="1:55">
      <c r="O27" s="10" t="s">
        <v>61</v>
      </c>
      <c r="P27" s="26" t="s">
        <v>146</v>
      </c>
      <c r="Q27" s="10" t="s">
        <v>72</v>
      </c>
      <c r="R27" s="10" t="s">
        <v>79</v>
      </c>
      <c r="S27" s="10" t="s">
        <v>85</v>
      </c>
      <c r="T27" s="10" t="s">
        <v>85</v>
      </c>
      <c r="AC27" s="25" t="s">
        <v>253</v>
      </c>
      <c r="AD27" s="32" t="s">
        <v>302</v>
      </c>
      <c r="AE27" s="10" t="s">
        <v>72</v>
      </c>
      <c r="AF27" s="10" t="s">
        <v>84</v>
      </c>
      <c r="AG27" s="10" t="s">
        <v>85</v>
      </c>
      <c r="AH27" s="10" t="s">
        <v>85</v>
      </c>
    </row>
    <row r="28" spans="1:55">
      <c r="O28" s="10" t="s">
        <v>53</v>
      </c>
      <c r="P28" s="26" t="s">
        <v>147</v>
      </c>
      <c r="Q28" s="10" t="s">
        <v>72</v>
      </c>
      <c r="R28" s="10" t="s">
        <v>84</v>
      </c>
      <c r="S28" s="10" t="s">
        <v>85</v>
      </c>
      <c r="T28" s="10" t="s">
        <v>85</v>
      </c>
      <c r="AC28" s="25" t="s">
        <v>254</v>
      </c>
      <c r="AD28" s="32" t="s">
        <v>303</v>
      </c>
      <c r="AE28" s="10" t="s">
        <v>72</v>
      </c>
      <c r="AF28" s="10" t="s">
        <v>84</v>
      </c>
      <c r="AG28" s="10" t="s">
        <v>85</v>
      </c>
      <c r="AH28" s="10" t="s">
        <v>85</v>
      </c>
    </row>
    <row r="29" spans="1:55">
      <c r="O29" s="10" t="s">
        <v>54</v>
      </c>
      <c r="P29" s="26" t="s">
        <v>148</v>
      </c>
      <c r="Q29" s="10" t="s">
        <v>72</v>
      </c>
      <c r="R29" s="10" t="s">
        <v>84</v>
      </c>
      <c r="S29" s="10" t="s">
        <v>85</v>
      </c>
      <c r="T29" s="10" t="s">
        <v>85</v>
      </c>
      <c r="AC29" s="25" t="s">
        <v>255</v>
      </c>
      <c r="AD29" s="32" t="s">
        <v>304</v>
      </c>
      <c r="AE29" s="10" t="s">
        <v>72</v>
      </c>
      <c r="AF29" s="10" t="s">
        <v>84</v>
      </c>
      <c r="AG29" s="10" t="s">
        <v>85</v>
      </c>
      <c r="AH29" s="10" t="s">
        <v>85</v>
      </c>
    </row>
    <row r="30" spans="1:55">
      <c r="O30" s="10" t="s">
        <v>55</v>
      </c>
      <c r="P30" s="26" t="s">
        <v>149</v>
      </c>
      <c r="Q30" s="10" t="s">
        <v>75</v>
      </c>
      <c r="R30" s="10" t="s">
        <v>84</v>
      </c>
      <c r="S30" s="10" t="s">
        <v>85</v>
      </c>
      <c r="T30" s="10" t="s">
        <v>85</v>
      </c>
      <c r="AC30" s="25" t="s">
        <v>207</v>
      </c>
      <c r="AD30" s="32" t="s">
        <v>305</v>
      </c>
      <c r="AE30" s="10" t="s">
        <v>72</v>
      </c>
      <c r="AF30" s="10" t="s">
        <v>84</v>
      </c>
      <c r="AG30" s="10" t="s">
        <v>85</v>
      </c>
      <c r="AH30" s="10" t="s">
        <v>85</v>
      </c>
    </row>
    <row r="31" spans="1:55">
      <c r="O31" s="10" t="s">
        <v>56</v>
      </c>
      <c r="P31" s="26" t="s">
        <v>150</v>
      </c>
      <c r="Q31" s="10" t="s">
        <v>75</v>
      </c>
      <c r="R31" s="10" t="s">
        <v>84</v>
      </c>
      <c r="S31" s="10" t="s">
        <v>85</v>
      </c>
      <c r="T31" s="10" t="s">
        <v>85</v>
      </c>
    </row>
    <row r="32" spans="1:55">
      <c r="O32" s="10" t="s">
        <v>57</v>
      </c>
      <c r="P32" s="26" t="s">
        <v>151</v>
      </c>
      <c r="Q32" s="10" t="s">
        <v>75</v>
      </c>
      <c r="R32" s="10" t="s">
        <v>84</v>
      </c>
      <c r="S32" s="10" t="s">
        <v>85</v>
      </c>
      <c r="T32" s="10" t="s">
        <v>85</v>
      </c>
    </row>
    <row r="33" spans="15:20">
      <c r="O33" s="10" t="s">
        <v>62</v>
      </c>
      <c r="P33" s="28" t="s">
        <v>153</v>
      </c>
      <c r="Q33" s="10" t="s">
        <v>76</v>
      </c>
      <c r="R33" s="10" t="s">
        <v>84</v>
      </c>
      <c r="S33" s="10" t="s">
        <v>85</v>
      </c>
      <c r="T33" s="10" t="s">
        <v>85</v>
      </c>
    </row>
    <row r="34" spans="15:20">
      <c r="O34" s="10" t="s">
        <v>58</v>
      </c>
      <c r="P34" s="20" t="s">
        <v>157</v>
      </c>
      <c r="Q34" s="10" t="s">
        <v>72</v>
      </c>
      <c r="R34" s="10" t="s">
        <v>84</v>
      </c>
      <c r="S34" s="10" t="s">
        <v>85</v>
      </c>
      <c r="T34" s="10" t="s">
        <v>85</v>
      </c>
    </row>
    <row r="35" spans="15:20">
      <c r="O35" s="10" t="s">
        <v>59</v>
      </c>
      <c r="P35" s="13" t="s">
        <v>152</v>
      </c>
      <c r="Q35" s="10" t="s">
        <v>76</v>
      </c>
      <c r="R35" s="10" t="s">
        <v>84</v>
      </c>
      <c r="S35" s="10" t="s">
        <v>85</v>
      </c>
      <c r="T35" s="10" t="s">
        <v>85</v>
      </c>
    </row>
    <row r="36" spans="15:20">
      <c r="O36" s="10" t="s">
        <v>60</v>
      </c>
      <c r="P36" s="13" t="s">
        <v>158</v>
      </c>
      <c r="Q36" s="10" t="s">
        <v>72</v>
      </c>
      <c r="R36" s="10" t="s">
        <v>84</v>
      </c>
      <c r="S36" s="10" t="s">
        <v>85</v>
      </c>
      <c r="T36" s="10" t="s">
        <v>85</v>
      </c>
    </row>
    <row r="40" spans="15:20">
      <c r="O40" s="4" t="s">
        <v>160</v>
      </c>
      <c r="P40" s="4" t="s">
        <v>181</v>
      </c>
    </row>
    <row r="41" spans="15:20">
      <c r="O41" s="21" t="s">
        <v>161</v>
      </c>
    </row>
    <row r="42" spans="15:20">
      <c r="O42" s="21" t="s">
        <v>162</v>
      </c>
    </row>
    <row r="43" spans="15:20">
      <c r="O43" s="21" t="s">
        <v>163</v>
      </c>
    </row>
    <row r="44" spans="15:20">
      <c r="O44" s="21" t="s">
        <v>164</v>
      </c>
    </row>
    <row r="45" spans="15:20">
      <c r="O45" s="21" t="s">
        <v>165</v>
      </c>
    </row>
    <row r="46" spans="15:20">
      <c r="O46" s="21" t="s">
        <v>166</v>
      </c>
    </row>
    <row r="47" spans="15:20">
      <c r="O47" s="21" t="s">
        <v>167</v>
      </c>
    </row>
    <row r="48" spans="15:20">
      <c r="O48" s="21" t="s">
        <v>168</v>
      </c>
    </row>
    <row r="49" spans="15:15">
      <c r="O49" s="21" t="s">
        <v>169</v>
      </c>
    </row>
    <row r="50" spans="15:15">
      <c r="O50" s="21" t="s">
        <v>170</v>
      </c>
    </row>
    <row r="51" spans="15:15">
      <c r="O51" s="21" t="s">
        <v>171</v>
      </c>
    </row>
    <row r="52" spans="15:15">
      <c r="O52" s="21" t="s">
        <v>172</v>
      </c>
    </row>
    <row r="53" spans="15:15">
      <c r="O53" s="21" t="s">
        <v>173</v>
      </c>
    </row>
    <row r="54" spans="15:15">
      <c r="O54" s="21" t="s">
        <v>174</v>
      </c>
    </row>
    <row r="55" spans="15:15">
      <c r="O55" s="21" t="s">
        <v>175</v>
      </c>
    </row>
    <row r="56" spans="15:15">
      <c r="O56" s="21" t="s">
        <v>175</v>
      </c>
    </row>
    <row r="57" spans="15:15">
      <c r="O57" s="22" t="s">
        <v>176</v>
      </c>
    </row>
    <row r="58" spans="15:15">
      <c r="O58" s="22" t="s">
        <v>177</v>
      </c>
    </row>
    <row r="59" spans="15:15">
      <c r="O59" s="22" t="s">
        <v>178</v>
      </c>
    </row>
    <row r="60" spans="15:15">
      <c r="O60" s="23" t="s">
        <v>179</v>
      </c>
    </row>
    <row r="61" spans="15:15">
      <c r="O61" s="23" t="s">
        <v>179</v>
      </c>
    </row>
    <row r="62" spans="15:15">
      <c r="O62" s="23" t="s">
        <v>180</v>
      </c>
    </row>
    <row r="63" spans="15:15">
      <c r="O63" s="23" t="s">
        <v>180</v>
      </c>
    </row>
    <row r="64" spans="15:15">
      <c r="O64" s="23" t="s">
        <v>180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6D6AC-C3BB-42A9-89EA-580328CF6E43}">
  <dimension ref="A1:D73"/>
  <sheetViews>
    <sheetView zoomScale="55" zoomScaleNormal="55" workbookViewId="0">
      <selection sqref="A1:A1048576"/>
    </sheetView>
  </sheetViews>
  <sheetFormatPr defaultRowHeight="16.899999999999999"/>
  <cols>
    <col min="1" max="2" width="21.25" customWidth="1"/>
  </cols>
  <sheetData>
    <row r="1" spans="1:4">
      <c r="A1" t="s">
        <v>80</v>
      </c>
      <c r="B1" t="s">
        <v>159</v>
      </c>
      <c r="C1" t="s">
        <v>81</v>
      </c>
    </row>
    <row r="2" spans="1:4">
      <c r="A2" s="10" t="s">
        <v>50</v>
      </c>
      <c r="B2" s="11" t="s">
        <v>142</v>
      </c>
      <c r="C2" s="1" t="s">
        <v>72</v>
      </c>
      <c r="D2">
        <f>IF(A2=A3,1,222)</f>
        <v>222</v>
      </c>
    </row>
    <row r="3" spans="1:4">
      <c r="A3" s="10" t="s">
        <v>49</v>
      </c>
      <c r="B3" s="11" t="s">
        <v>141</v>
      </c>
      <c r="C3" s="1" t="s">
        <v>72</v>
      </c>
      <c r="D3">
        <f t="shared" ref="D3:D66" si="0">IF(A3=A4,1,222)</f>
        <v>222</v>
      </c>
    </row>
    <row r="4" spans="1:4">
      <c r="A4" s="10" t="s">
        <v>61</v>
      </c>
      <c r="B4" s="11" t="s">
        <v>146</v>
      </c>
      <c r="C4" s="1" t="s">
        <v>72</v>
      </c>
      <c r="D4">
        <f t="shared" si="0"/>
        <v>222</v>
      </c>
    </row>
    <row r="5" spans="1:4">
      <c r="A5" s="9" t="s">
        <v>11</v>
      </c>
      <c r="B5" s="10" t="s">
        <v>104</v>
      </c>
      <c r="C5" s="1" t="s">
        <v>72</v>
      </c>
      <c r="D5">
        <f t="shared" si="0"/>
        <v>222</v>
      </c>
    </row>
    <row r="6" spans="1:4">
      <c r="A6" s="10" t="s">
        <v>57</v>
      </c>
      <c r="B6" s="11" t="s">
        <v>151</v>
      </c>
      <c r="C6" s="1" t="s">
        <v>75</v>
      </c>
      <c r="D6">
        <f t="shared" si="0"/>
        <v>222</v>
      </c>
    </row>
    <row r="7" spans="1:4" s="16" customFormat="1">
      <c r="A7" s="13" t="s">
        <v>52</v>
      </c>
      <c r="B7" s="14" t="s">
        <v>145</v>
      </c>
      <c r="C7" s="15" t="s">
        <v>72</v>
      </c>
      <c r="D7" s="16">
        <f t="shared" si="0"/>
        <v>1</v>
      </c>
    </row>
    <row r="8" spans="1:4" s="16" customFormat="1">
      <c r="A8" s="17" t="s">
        <v>73</v>
      </c>
      <c r="B8" s="13" t="s">
        <v>145</v>
      </c>
      <c r="C8" s="15" t="s">
        <v>72</v>
      </c>
      <c r="D8" s="16">
        <f t="shared" si="0"/>
        <v>222</v>
      </c>
    </row>
    <row r="9" spans="1:4">
      <c r="A9" s="10" t="s">
        <v>51</v>
      </c>
      <c r="B9" s="11" t="s">
        <v>143</v>
      </c>
      <c r="C9" s="1" t="s">
        <v>72</v>
      </c>
      <c r="D9">
        <f t="shared" si="0"/>
        <v>222</v>
      </c>
    </row>
    <row r="10" spans="1:4">
      <c r="A10" s="10" t="s">
        <v>78</v>
      </c>
      <c r="B10" s="11" t="s">
        <v>144</v>
      </c>
      <c r="C10" s="1" t="s">
        <v>77</v>
      </c>
      <c r="D10">
        <f t="shared" si="0"/>
        <v>222</v>
      </c>
    </row>
    <row r="11" spans="1:4">
      <c r="A11" s="2" t="s">
        <v>30</v>
      </c>
      <c r="B11" s="10" t="s">
        <v>122</v>
      </c>
      <c r="C11" s="1" t="s">
        <v>87</v>
      </c>
      <c r="D11">
        <f t="shared" si="0"/>
        <v>222</v>
      </c>
    </row>
    <row r="12" spans="1:4">
      <c r="A12" s="10" t="s">
        <v>34</v>
      </c>
      <c r="B12" s="11" t="s">
        <v>126</v>
      </c>
      <c r="C12" s="1" t="s">
        <v>72</v>
      </c>
      <c r="D12">
        <f t="shared" si="0"/>
        <v>222</v>
      </c>
    </row>
    <row r="13" spans="1:4">
      <c r="A13" s="6" t="s">
        <v>69</v>
      </c>
      <c r="B13" s="10" t="s">
        <v>143</v>
      </c>
      <c r="C13" s="1" t="s">
        <v>72</v>
      </c>
      <c r="D13">
        <f t="shared" si="0"/>
        <v>222</v>
      </c>
    </row>
    <row r="14" spans="1:4">
      <c r="A14" s="2" t="s">
        <v>29</v>
      </c>
      <c r="B14" s="10" t="s">
        <v>121</v>
      </c>
      <c r="C14" s="1" t="s">
        <v>72</v>
      </c>
      <c r="D14">
        <f t="shared" si="0"/>
        <v>222</v>
      </c>
    </row>
    <row r="15" spans="1:4">
      <c r="A15" s="10" t="s">
        <v>46</v>
      </c>
      <c r="B15" s="11" t="s">
        <v>138</v>
      </c>
      <c r="C15" s="1" t="s">
        <v>72</v>
      </c>
      <c r="D15">
        <f t="shared" si="0"/>
        <v>222</v>
      </c>
    </row>
    <row r="16" spans="1:4">
      <c r="A16" s="3" t="s">
        <v>71</v>
      </c>
      <c r="B16" s="3" t="s">
        <v>119</v>
      </c>
      <c r="C16" s="1" t="s">
        <v>72</v>
      </c>
      <c r="D16">
        <f t="shared" si="0"/>
        <v>222</v>
      </c>
    </row>
    <row r="17" spans="1:4">
      <c r="A17" s="3" t="s">
        <v>27</v>
      </c>
      <c r="B17" s="3" t="s">
        <v>119</v>
      </c>
      <c r="C17" s="1" t="s">
        <v>72</v>
      </c>
      <c r="D17">
        <f t="shared" si="0"/>
        <v>222</v>
      </c>
    </row>
    <row r="18" spans="1:4">
      <c r="A18" s="10" t="s">
        <v>32</v>
      </c>
      <c r="B18" s="11" t="s">
        <v>124</v>
      </c>
      <c r="C18" s="1" t="s">
        <v>72</v>
      </c>
      <c r="D18">
        <f t="shared" si="0"/>
        <v>222</v>
      </c>
    </row>
    <row r="19" spans="1:4">
      <c r="A19" s="10" t="s">
        <v>33</v>
      </c>
      <c r="B19" s="11" t="s">
        <v>125</v>
      </c>
      <c r="C19" s="1" t="s">
        <v>72</v>
      </c>
      <c r="D19">
        <f t="shared" si="0"/>
        <v>222</v>
      </c>
    </row>
    <row r="20" spans="1:4" s="16" customFormat="1">
      <c r="A20" s="18" t="s">
        <v>0</v>
      </c>
      <c r="B20" s="18" t="s">
        <v>93</v>
      </c>
      <c r="C20" s="15" t="s">
        <v>72</v>
      </c>
      <c r="D20" s="16">
        <f t="shared" si="0"/>
        <v>1</v>
      </c>
    </row>
    <row r="21" spans="1:4" s="16" customFormat="1">
      <c r="A21" s="13" t="s">
        <v>0</v>
      </c>
      <c r="B21" s="13" t="s">
        <v>93</v>
      </c>
      <c r="C21" s="15" t="s">
        <v>72</v>
      </c>
      <c r="D21" s="16">
        <f t="shared" si="0"/>
        <v>222</v>
      </c>
    </row>
    <row r="22" spans="1:4">
      <c r="A22" s="10" t="s">
        <v>54</v>
      </c>
      <c r="B22" s="11" t="s">
        <v>148</v>
      </c>
      <c r="C22" s="1" t="s">
        <v>72</v>
      </c>
      <c r="D22">
        <f t="shared" si="0"/>
        <v>222</v>
      </c>
    </row>
    <row r="23" spans="1:4">
      <c r="A23" s="10" t="s">
        <v>53</v>
      </c>
      <c r="B23" s="11" t="s">
        <v>147</v>
      </c>
      <c r="C23" s="1" t="s">
        <v>72</v>
      </c>
      <c r="D23">
        <f t="shared" si="0"/>
        <v>222</v>
      </c>
    </row>
    <row r="24" spans="1:4">
      <c r="A24" s="3" t="s">
        <v>31</v>
      </c>
      <c r="B24" s="3" t="s">
        <v>123</v>
      </c>
      <c r="C24" s="1" t="s">
        <v>72</v>
      </c>
      <c r="D24">
        <f t="shared" si="0"/>
        <v>222</v>
      </c>
    </row>
    <row r="25" spans="1:4">
      <c r="A25" s="2" t="s">
        <v>25</v>
      </c>
      <c r="B25" s="10" t="s">
        <v>117</v>
      </c>
      <c r="C25" s="1" t="s">
        <v>87</v>
      </c>
      <c r="D25">
        <f t="shared" si="0"/>
        <v>222</v>
      </c>
    </row>
    <row r="26" spans="1:4">
      <c r="A26" s="2" t="s">
        <v>28</v>
      </c>
      <c r="B26" s="12" t="s">
        <v>120</v>
      </c>
      <c r="C26" s="1" t="s">
        <v>75</v>
      </c>
      <c r="D26">
        <f t="shared" si="0"/>
        <v>222</v>
      </c>
    </row>
    <row r="27" spans="1:4">
      <c r="A27" s="5" t="s">
        <v>68</v>
      </c>
      <c r="B27" s="10" t="s">
        <v>156</v>
      </c>
      <c r="C27" s="1" t="s">
        <v>75</v>
      </c>
      <c r="D27">
        <f t="shared" si="0"/>
        <v>222</v>
      </c>
    </row>
    <row r="28" spans="1:4">
      <c r="A28" s="9" t="s">
        <v>18</v>
      </c>
      <c r="B28" s="10" t="s">
        <v>111</v>
      </c>
      <c r="C28" s="1" t="s">
        <v>87</v>
      </c>
      <c r="D28">
        <f t="shared" si="0"/>
        <v>222</v>
      </c>
    </row>
    <row r="29" spans="1:4">
      <c r="A29" s="9" t="s">
        <v>19</v>
      </c>
      <c r="B29" s="10" t="s">
        <v>112</v>
      </c>
      <c r="C29" s="1" t="s">
        <v>76</v>
      </c>
      <c r="D29">
        <f t="shared" si="0"/>
        <v>222</v>
      </c>
    </row>
    <row r="30" spans="1:4">
      <c r="A30" s="9" t="s">
        <v>21</v>
      </c>
      <c r="B30" s="10" t="s">
        <v>114</v>
      </c>
      <c r="C30" s="1" t="s">
        <v>72</v>
      </c>
      <c r="D30">
        <f t="shared" si="0"/>
        <v>222</v>
      </c>
    </row>
    <row r="31" spans="1:4">
      <c r="A31" s="9" t="s">
        <v>14</v>
      </c>
      <c r="B31" s="10" t="s">
        <v>107</v>
      </c>
      <c r="C31" s="1" t="s">
        <v>72</v>
      </c>
      <c r="D31">
        <f t="shared" si="0"/>
        <v>222</v>
      </c>
    </row>
    <row r="32" spans="1:4">
      <c r="A32" s="9" t="s">
        <v>13</v>
      </c>
      <c r="B32" s="10" t="s">
        <v>106</v>
      </c>
      <c r="C32" s="1" t="s">
        <v>72</v>
      </c>
      <c r="D32">
        <f t="shared" si="0"/>
        <v>222</v>
      </c>
    </row>
    <row r="33" spans="1:4">
      <c r="A33" s="9" t="s">
        <v>12</v>
      </c>
      <c r="B33" s="10" t="s">
        <v>105</v>
      </c>
      <c r="C33" s="1" t="s">
        <v>87</v>
      </c>
      <c r="D33">
        <f t="shared" si="0"/>
        <v>222</v>
      </c>
    </row>
    <row r="34" spans="1:4">
      <c r="A34" s="10" t="s">
        <v>48</v>
      </c>
      <c r="B34" s="11" t="s">
        <v>140</v>
      </c>
      <c r="C34" s="1" t="s">
        <v>72</v>
      </c>
      <c r="D34">
        <f t="shared" si="0"/>
        <v>222</v>
      </c>
    </row>
    <row r="35" spans="1:4">
      <c r="A35" s="10" t="s">
        <v>44</v>
      </c>
      <c r="B35" s="11" t="s">
        <v>136</v>
      </c>
      <c r="C35" s="1" t="s">
        <v>72</v>
      </c>
      <c r="D35">
        <f t="shared" si="0"/>
        <v>222</v>
      </c>
    </row>
    <row r="36" spans="1:4">
      <c r="A36" s="9" t="s">
        <v>10</v>
      </c>
      <c r="B36" s="10" t="s">
        <v>103</v>
      </c>
      <c r="C36" s="1" t="s">
        <v>72</v>
      </c>
      <c r="D36">
        <f t="shared" si="0"/>
        <v>222</v>
      </c>
    </row>
    <row r="37" spans="1:4">
      <c r="A37" s="10" t="s">
        <v>47</v>
      </c>
      <c r="B37" s="11" t="s">
        <v>139</v>
      </c>
      <c r="C37" s="1" t="s">
        <v>72</v>
      </c>
      <c r="D37">
        <f t="shared" si="0"/>
        <v>222</v>
      </c>
    </row>
    <row r="38" spans="1:4">
      <c r="A38" s="10" t="s">
        <v>55</v>
      </c>
      <c r="B38" s="11" t="s">
        <v>149</v>
      </c>
      <c r="C38" s="1" t="s">
        <v>75</v>
      </c>
      <c r="D38">
        <f t="shared" si="0"/>
        <v>222</v>
      </c>
    </row>
    <row r="39" spans="1:4">
      <c r="A39" s="10" t="s">
        <v>56</v>
      </c>
      <c r="B39" s="11" t="s">
        <v>150</v>
      </c>
      <c r="C39" s="1" t="s">
        <v>75</v>
      </c>
      <c r="D39">
        <f t="shared" si="0"/>
        <v>222</v>
      </c>
    </row>
    <row r="40" spans="1:4">
      <c r="A40" s="5" t="s">
        <v>67</v>
      </c>
      <c r="B40" s="12" t="s">
        <v>155</v>
      </c>
      <c r="C40" s="1" t="s">
        <v>74</v>
      </c>
      <c r="D40">
        <f t="shared" si="0"/>
        <v>222</v>
      </c>
    </row>
    <row r="41" spans="1:4">
      <c r="A41" s="10" t="s">
        <v>43</v>
      </c>
      <c r="B41" s="11" t="s">
        <v>135</v>
      </c>
      <c r="C41" s="1" t="s">
        <v>75</v>
      </c>
      <c r="D41">
        <f t="shared" si="0"/>
        <v>222</v>
      </c>
    </row>
    <row r="42" spans="1:4">
      <c r="A42" s="3" t="s">
        <v>24</v>
      </c>
      <c r="B42" s="3" t="s">
        <v>116</v>
      </c>
      <c r="C42" s="1" t="s">
        <v>72</v>
      </c>
      <c r="D42">
        <f t="shared" si="0"/>
        <v>222</v>
      </c>
    </row>
    <row r="43" spans="1:4">
      <c r="A43" s="9" t="s">
        <v>22</v>
      </c>
      <c r="B43" s="10" t="s">
        <v>115</v>
      </c>
      <c r="C43" s="1" t="s">
        <v>75</v>
      </c>
      <c r="D43">
        <f t="shared" si="0"/>
        <v>222</v>
      </c>
    </row>
    <row r="44" spans="1:4">
      <c r="A44" s="10" t="s">
        <v>38</v>
      </c>
      <c r="B44" s="11" t="s">
        <v>130</v>
      </c>
      <c r="C44" s="1" t="s">
        <v>72</v>
      </c>
      <c r="D44">
        <f t="shared" si="0"/>
        <v>222</v>
      </c>
    </row>
    <row r="45" spans="1:4">
      <c r="A45" s="10" t="s">
        <v>36</v>
      </c>
      <c r="B45" s="11" t="s">
        <v>128</v>
      </c>
      <c r="C45" s="1" t="s">
        <v>87</v>
      </c>
      <c r="D45">
        <f t="shared" si="0"/>
        <v>222</v>
      </c>
    </row>
    <row r="46" spans="1:4">
      <c r="A46" s="10" t="s">
        <v>62</v>
      </c>
      <c r="B46" s="11" t="s">
        <v>153</v>
      </c>
      <c r="C46" s="1" t="s">
        <v>76</v>
      </c>
      <c r="D46">
        <f t="shared" si="0"/>
        <v>222</v>
      </c>
    </row>
    <row r="47" spans="1:4">
      <c r="A47" s="10" t="s">
        <v>58</v>
      </c>
      <c r="B47" s="12" t="s">
        <v>157</v>
      </c>
      <c r="C47" s="1" t="s">
        <v>72</v>
      </c>
      <c r="D47">
        <f t="shared" si="0"/>
        <v>222</v>
      </c>
    </row>
    <row r="48" spans="1:4">
      <c r="A48" s="9" t="s">
        <v>2</v>
      </c>
      <c r="B48" s="10" t="s">
        <v>95</v>
      </c>
      <c r="C48" s="1" t="s">
        <v>72</v>
      </c>
      <c r="D48">
        <f t="shared" si="0"/>
        <v>222</v>
      </c>
    </row>
    <row r="49" spans="1:4">
      <c r="A49" s="9" t="s">
        <v>3</v>
      </c>
      <c r="B49" s="10" t="s">
        <v>96</v>
      </c>
      <c r="C49" s="1" t="s">
        <v>76</v>
      </c>
      <c r="D49">
        <f t="shared" si="0"/>
        <v>222</v>
      </c>
    </row>
    <row r="50" spans="1:4">
      <c r="A50" s="9" t="s">
        <v>7</v>
      </c>
      <c r="B50" s="10" t="s">
        <v>100</v>
      </c>
      <c r="C50" s="1" t="s">
        <v>72</v>
      </c>
      <c r="D50">
        <f t="shared" si="0"/>
        <v>222</v>
      </c>
    </row>
    <row r="51" spans="1:4">
      <c r="A51" s="9" t="s">
        <v>8</v>
      </c>
      <c r="B51" s="10" t="s">
        <v>101</v>
      </c>
      <c r="C51" s="1" t="s">
        <v>72</v>
      </c>
      <c r="D51">
        <f t="shared" si="0"/>
        <v>222</v>
      </c>
    </row>
    <row r="52" spans="1:4">
      <c r="A52" s="9" t="s">
        <v>9</v>
      </c>
      <c r="B52" s="10" t="s">
        <v>102</v>
      </c>
      <c r="C52" s="1" t="s">
        <v>72</v>
      </c>
      <c r="D52">
        <f t="shared" si="0"/>
        <v>222</v>
      </c>
    </row>
    <row r="53" spans="1:4">
      <c r="A53" s="5" t="s">
        <v>66</v>
      </c>
      <c r="B53" s="10" t="s">
        <v>154</v>
      </c>
      <c r="C53" s="1" t="s">
        <v>72</v>
      </c>
      <c r="D53">
        <f t="shared" si="0"/>
        <v>222</v>
      </c>
    </row>
    <row r="54" spans="1:4">
      <c r="A54" s="10" t="s">
        <v>39</v>
      </c>
      <c r="B54" s="11" t="s">
        <v>131</v>
      </c>
      <c r="C54" s="1" t="s">
        <v>75</v>
      </c>
      <c r="D54">
        <f t="shared" si="0"/>
        <v>222</v>
      </c>
    </row>
    <row r="55" spans="1:4">
      <c r="A55" s="10" t="s">
        <v>37</v>
      </c>
      <c r="B55" s="11" t="s">
        <v>129</v>
      </c>
      <c r="C55" s="1" t="s">
        <v>72</v>
      </c>
      <c r="D55">
        <f t="shared" si="0"/>
        <v>222</v>
      </c>
    </row>
    <row r="56" spans="1:4">
      <c r="A56" s="8" t="s">
        <v>23</v>
      </c>
      <c r="B56" s="8" t="s">
        <v>92</v>
      </c>
      <c r="C56" s="1" t="s">
        <v>72</v>
      </c>
      <c r="D56">
        <f t="shared" si="0"/>
        <v>222</v>
      </c>
    </row>
    <row r="57" spans="1:4">
      <c r="A57" s="9" t="s">
        <v>1</v>
      </c>
      <c r="B57" s="10" t="s">
        <v>94</v>
      </c>
      <c r="C57" s="1" t="s">
        <v>72</v>
      </c>
      <c r="D57">
        <f t="shared" si="0"/>
        <v>222</v>
      </c>
    </row>
    <row r="58" spans="1:4">
      <c r="A58" s="9" t="s">
        <v>20</v>
      </c>
      <c r="B58" s="10" t="s">
        <v>113</v>
      </c>
      <c r="C58" s="1" t="s">
        <v>75</v>
      </c>
      <c r="D58">
        <f t="shared" si="0"/>
        <v>222</v>
      </c>
    </row>
    <row r="59" spans="1:4">
      <c r="A59" s="9" t="s">
        <v>6</v>
      </c>
      <c r="B59" s="10" t="s">
        <v>99</v>
      </c>
      <c r="C59" s="1" t="s">
        <v>72</v>
      </c>
      <c r="D59">
        <f t="shared" si="0"/>
        <v>222</v>
      </c>
    </row>
    <row r="60" spans="1:4">
      <c r="A60" s="9" t="s">
        <v>4</v>
      </c>
      <c r="B60" s="10" t="s">
        <v>97</v>
      </c>
      <c r="C60" s="1" t="s">
        <v>76</v>
      </c>
      <c r="D60">
        <f t="shared" si="0"/>
        <v>222</v>
      </c>
    </row>
    <row r="61" spans="1:4">
      <c r="A61" s="2" t="s">
        <v>26</v>
      </c>
      <c r="B61" s="10" t="s">
        <v>118</v>
      </c>
      <c r="C61" s="1" t="s">
        <v>75</v>
      </c>
      <c r="D61">
        <f t="shared" si="0"/>
        <v>222</v>
      </c>
    </row>
    <row r="62" spans="1:4">
      <c r="A62" s="10" t="s">
        <v>45</v>
      </c>
      <c r="B62" s="11" t="s">
        <v>137</v>
      </c>
      <c r="C62" s="1" t="s">
        <v>75</v>
      </c>
      <c r="D62">
        <f t="shared" si="0"/>
        <v>222</v>
      </c>
    </row>
    <row r="63" spans="1:4">
      <c r="A63" s="9" t="s">
        <v>15</v>
      </c>
      <c r="B63" s="10" t="s">
        <v>108</v>
      </c>
      <c r="C63" s="1" t="s">
        <v>87</v>
      </c>
      <c r="D63">
        <f t="shared" si="0"/>
        <v>222</v>
      </c>
    </row>
    <row r="64" spans="1:4">
      <c r="A64" s="9" t="s">
        <v>16</v>
      </c>
      <c r="B64" s="10" t="s">
        <v>109</v>
      </c>
      <c r="C64" s="1" t="s">
        <v>76</v>
      </c>
      <c r="D64">
        <f t="shared" si="0"/>
        <v>222</v>
      </c>
    </row>
    <row r="65" spans="1:4">
      <c r="A65" s="9" t="s">
        <v>17</v>
      </c>
      <c r="B65" s="4" t="s">
        <v>110</v>
      </c>
      <c r="C65" s="1" t="s">
        <v>76</v>
      </c>
      <c r="D65">
        <f t="shared" si="0"/>
        <v>222</v>
      </c>
    </row>
    <row r="66" spans="1:4">
      <c r="A66" s="10" t="s">
        <v>35</v>
      </c>
      <c r="B66" s="11" t="s">
        <v>127</v>
      </c>
      <c r="C66" s="1" t="s">
        <v>72</v>
      </c>
      <c r="D66">
        <f t="shared" si="0"/>
        <v>222</v>
      </c>
    </row>
    <row r="67" spans="1:4">
      <c r="A67" s="10" t="s">
        <v>40</v>
      </c>
      <c r="B67" s="11" t="s">
        <v>132</v>
      </c>
      <c r="C67" s="1" t="s">
        <v>75</v>
      </c>
      <c r="D67">
        <f t="shared" ref="D67:D73" si="1">IF(A67=A68,1,222)</f>
        <v>222</v>
      </c>
    </row>
    <row r="68" spans="1:4">
      <c r="A68" s="10" t="s">
        <v>42</v>
      </c>
      <c r="B68" s="11" t="s">
        <v>134</v>
      </c>
      <c r="C68" s="1" t="s">
        <v>75</v>
      </c>
      <c r="D68">
        <f t="shared" si="1"/>
        <v>222</v>
      </c>
    </row>
    <row r="69" spans="1:4">
      <c r="A69" s="10" t="s">
        <v>41</v>
      </c>
      <c r="B69" s="11" t="s">
        <v>133</v>
      </c>
      <c r="C69" s="1" t="s">
        <v>75</v>
      </c>
      <c r="D69">
        <f t="shared" si="1"/>
        <v>222</v>
      </c>
    </row>
    <row r="70" spans="1:4">
      <c r="A70" s="9" t="s">
        <v>5</v>
      </c>
      <c r="B70" s="10" t="s">
        <v>98</v>
      </c>
      <c r="C70" s="1" t="s">
        <v>76</v>
      </c>
      <c r="D70">
        <f t="shared" si="1"/>
        <v>222</v>
      </c>
    </row>
    <row r="71" spans="1:4">
      <c r="A71" s="6" t="s">
        <v>70</v>
      </c>
      <c r="B71" s="10" t="s">
        <v>144</v>
      </c>
      <c r="C71" s="1" t="s">
        <v>72</v>
      </c>
      <c r="D71">
        <f t="shared" si="1"/>
        <v>222</v>
      </c>
    </row>
    <row r="72" spans="1:4">
      <c r="A72" s="10" t="s">
        <v>59</v>
      </c>
      <c r="B72" s="10" t="s">
        <v>152</v>
      </c>
      <c r="C72" s="1" t="s">
        <v>76</v>
      </c>
      <c r="D72">
        <f t="shared" si="1"/>
        <v>222</v>
      </c>
    </row>
    <row r="73" spans="1:4">
      <c r="A73" s="10" t="s">
        <v>60</v>
      </c>
      <c r="B73" s="12" t="s">
        <v>158</v>
      </c>
      <c r="C73" s="1" t="s">
        <v>72</v>
      </c>
      <c r="D73">
        <f t="shared" si="1"/>
        <v>222</v>
      </c>
    </row>
  </sheetData>
  <sortState xmlns:xlrd2="http://schemas.microsoft.com/office/spreadsheetml/2017/richdata2" ref="A2:C73">
    <sortCondition ref="A5:A73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웅찬 채</dc:creator>
  <cp:lastModifiedBy>웅찬 채</cp:lastModifiedBy>
  <dcterms:created xsi:type="dcterms:W3CDTF">2026-01-20T00:59:28Z</dcterms:created>
  <dcterms:modified xsi:type="dcterms:W3CDTF">2026-01-21T05:55:43Z</dcterms:modified>
</cp:coreProperties>
</file>